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Sales 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Unique Lists" sheetId="5" state="visible" r:id="rId5"/>
    <sheet xmlns:r="http://schemas.openxmlformats.org/officeDocument/2006/relationships" name="README" sheetId="6" state="visible" r:id="rId6"/>
  </sheets>
  <definedNames>
    <definedName name="_xlnm._FilterDatabase" localSheetId="2" hidden="1">'Sales Data'!$A$1:$R$753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i val="1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1F4E78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4">
    <xf numFmtId="0" fontId="0" fillId="0" borderId="0" pivotButton="0" quotePrefix="0" xfId="0"/>
    <xf numFmtId="2" fontId="0" fillId="0" borderId="0" pivotButton="0" quotePrefix="0" xfId="0"/>
    <xf numFmtId="14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2" fontId="19" fillId="0" borderId="0" applyAlignment="1" pivotButton="0" quotePrefix="0" xfId="0">
      <alignment horizontal="center" vertical="center"/>
    </xf>
    <xf numFmtId="0" fontId="20" fillId="33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34" borderId="10" applyAlignment="1" pivotButton="0" quotePrefix="0" xfId="0">
      <alignment horizontal="center" vertical="center"/>
    </xf>
    <xf numFmtId="0" fontId="19" fillId="35" borderId="13" applyAlignment="1" pivotButton="0" quotePrefix="0" xfId="0">
      <alignment horizontal="center" vertical="center" wrapText="1"/>
    </xf>
    <xf numFmtId="0" fontId="19" fillId="35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 vertical="center" wrapText="1"/>
    </xf>
    <xf numFmtId="0" fontId="20" fillId="34" borderId="12" applyAlignment="1" pivotButton="0" quotePrefix="0" xfId="0">
      <alignment horizontal="center" vertical="center"/>
    </xf>
    <xf numFmtId="0" fontId="20" fillId="34" borderId="17" applyAlignment="1" pivotButton="0" quotePrefix="0" xfId="0">
      <alignment horizontal="center" vertical="center"/>
    </xf>
    <xf numFmtId="0" fontId="20" fillId="34" borderId="1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1" pivotButton="0" quotePrefix="0" xfId="0"/>
    <xf numFmtId="0" fontId="22" fillId="36" borderId="0" applyAlignment="1" pivotButton="0" quotePrefix="0" xfId="0">
      <alignment horizontal="center"/>
    </xf>
    <xf numFmtId="2" fontId="22" fillId="36" borderId="0" applyAlignment="1" pivotButton="0" quotePrefix="0" xfId="0">
      <alignment horizontal="center"/>
    </xf>
    <xf numFmtId="164" fontId="0" fillId="0" borderId="10" applyAlignment="1" pivotButton="0" quotePrefix="0" xfId="0">
      <alignment horizontal="center" vertical="center"/>
    </xf>
    <xf numFmtId="4" fontId="0" fillId="0" borderId="10" applyAlignment="1" pivotButton="0" quotePrefix="0" xfId="0">
      <alignment horizontal="center" vertical="center"/>
    </xf>
    <xf numFmtId="4" fontId="0" fillId="0" borderId="0" pivotButton="0" quotePrefix="0" xfId="0"/>
    <xf numFmtId="165" fontId="0" fillId="0" borderId="0" pivotButton="0" quotePrefix="0" xfId="0"/>
    <xf numFmtId="0" fontId="23" fillId="36" borderId="0" applyAlignment="1" pivotButton="0" quotePrefix="0" xfId="0">
      <alignment horizontal="center"/>
    </xf>
    <xf numFmtId="0" fontId="22" fillId="37" borderId="0" pivotButton="0" quotePrefix="0" xfId="0"/>
    <xf numFmtId="0" fontId="24" fillId="38" borderId="0" pivotButton="0" quotePrefix="0" xfId="0"/>
    <xf numFmtId="0" fontId="22" fillId="36" borderId="0" pivotButton="0" quotePrefix="0" xfId="0"/>
    <xf numFmtId="0" fontId="23" fillId="36" borderId="0" pivotButton="0" quotePrefix="0" xfId="0"/>
    <xf numFmtId="0" fontId="25" fillId="38" borderId="0" pivotButton="0" quotePrefix="0" xfId="0"/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0">
    <dxf>
      <font>
        <name val="Aptos Narrow"/>
        <family val="2"/>
        <b val="1"/>
        <strike val="0"/>
        <outline val="0"/>
        <shadow val="0"/>
        <color theme="1"/>
        <sz val="12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1" formatCode="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numFmt numFmtId="19" formatCode="m/d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Sub-Category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'Analysis'!$A$28:$A$29</f>
            </numRef>
          </cat>
          <val>
            <numRef>
              <f>'Analysis'!$C$28:$C$29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3" displayName="Table3" ref="C4:D15" headerRowCount="1" totalsRowShown="0" headerRowDxfId="3" dataDxfId="0" headerRowBorderDxfId="5" tableBorderDxfId="6" totalsRowBorderDxfId="4">
  <autoFilter ref="C4:D15">
    <filterColumn colId="0" hiddenButton="1" showButton="1"/>
    <filterColumn colId="1" hiddenButton="1" showButton="1"/>
  </autoFilter>
  <tableColumns count="2">
    <tableColumn id="1" name="اسم العمود" dataDxfId="2"/>
    <tableColumn id="2" name="وظيفة العمود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ikeSalesData" displayName="BikeSalesData" ref="A1:R753" headerRowCount="1">
  <autoFilter ref="A1:R753"/>
  <tableColumns count="18">
    <tableColumn id="1" name="Date"/>
    <tableColumn id="2" name="Customer_Age"/>
    <tableColumn id="3" name="CustoMer_Gender"/>
    <tableColumn id="4" name="Country"/>
    <tableColumn id="5" name="State"/>
    <tableColumn id="6" name="Sub_Category"/>
    <tableColumn id="7" name="Bike_Color"/>
    <tableColumn id="8" name="Product"/>
    <tableColumn id="9" name="Order_Quantity"/>
    <tableColumn id="10" name="Unit_Cost"/>
    <tableColumn id="11" name="Unit_Price"/>
    <tableColumn id="12" name="Sales_Amount"/>
    <tableColumn id="13" name="Cost_Amount"/>
    <tableColumn id="14" name="Profit"/>
    <tableColumn id="15" name="Profit_Margin"/>
    <tableColumn id="16" name="Year"/>
    <tableColumn id="17" name="Month"/>
    <tableColumn id="18" name="Age_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7:I9"/>
  <sheetViews>
    <sheetView tabSelected="1" workbookViewId="0">
      <selection activeCell="C7" sqref="C7"/>
    </sheetView>
  </sheetViews>
  <sheetFormatPr baseColWidth="8" defaultColWidth="13.5546875" defaultRowHeight="20.4" customHeight="1"/>
  <cols>
    <col width="18.33203125" customWidth="1" min="3" max="3"/>
    <col width="0.6640625" customWidth="1" min="4" max="4"/>
  </cols>
  <sheetData>
    <row r="6" ht="16.8" customHeight="1"/>
    <row r="7" ht="25.2" customHeight="1">
      <c r="C7" s="7" t="inlineStr">
        <is>
          <t>Name</t>
        </is>
      </c>
      <c r="D7" s="8" t="n"/>
      <c r="E7" s="9" t="inlineStr">
        <is>
          <t>مصطفي محمود علي</t>
        </is>
      </c>
      <c r="F7" s="19" t="n"/>
      <c r="G7" s="19" t="n"/>
      <c r="H7" s="19" t="n"/>
      <c r="I7" s="20" t="n"/>
    </row>
    <row r="8" ht="25.2" customHeight="1">
      <c r="C8" s="7" t="inlineStr">
        <is>
          <t>Phone Number</t>
        </is>
      </c>
      <c r="D8" s="8" t="n"/>
      <c r="E8" s="9" t="inlineStr">
        <is>
          <t>01032340302</t>
        </is>
      </c>
      <c r="F8" s="19" t="n"/>
      <c r="G8" s="19" t="n"/>
      <c r="H8" s="19" t="n"/>
      <c r="I8" s="20" t="n"/>
    </row>
    <row r="9" ht="25.2" customHeight="1">
      <c r="C9" s="7" t="inlineStr">
        <is>
          <t>E-Mail</t>
        </is>
      </c>
      <c r="D9" s="8" t="n"/>
      <c r="E9" s="9" t="inlineStr">
        <is>
          <t>shroh1520132020sh@gmail.com</t>
        </is>
      </c>
      <c r="F9" s="19" t="n"/>
      <c r="G9" s="19" t="n"/>
      <c r="H9" s="19" t="n"/>
      <c r="I9" s="20" t="n"/>
    </row>
  </sheetData>
  <mergeCells count="3">
    <mergeCell ref="E8:I8"/>
    <mergeCell ref="E7:I7"/>
    <mergeCell ref="E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D15"/>
  <sheetViews>
    <sheetView workbookViewId="0">
      <selection activeCell="B20" sqref="B20"/>
    </sheetView>
  </sheetViews>
  <sheetFormatPr baseColWidth="8" defaultColWidth="20.77734375" defaultRowHeight="18.6" customHeight="1"/>
  <cols>
    <col width="11.109375" customWidth="1" min="2" max="2"/>
    <col width="33.6640625" customWidth="1" min="3" max="3"/>
    <col width="66.21875" customWidth="1" min="4" max="4"/>
  </cols>
  <sheetData>
    <row r="4" ht="28.2" customHeight="1">
      <c r="C4" s="10" t="inlineStr">
        <is>
          <t>اسم العمود</t>
        </is>
      </c>
      <c r="D4" s="11" t="inlineStr">
        <is>
          <t>وظيفة العمود</t>
        </is>
      </c>
    </row>
    <row r="5" ht="18.6" customHeight="1">
      <c r="C5" s="12" t="inlineStr">
        <is>
          <t>Date</t>
        </is>
      </c>
      <c r="D5" s="13" t="inlineStr">
        <is>
          <t>تاريخ عملية البيع</t>
        </is>
      </c>
    </row>
    <row r="6" ht="18.6" customHeight="1">
      <c r="C6" s="12" t="inlineStr">
        <is>
          <t>Customer_Age</t>
        </is>
      </c>
      <c r="D6" s="13" t="inlineStr">
        <is>
          <t>عمر العميل وقت عملية الشراء</t>
        </is>
      </c>
    </row>
    <row r="7" ht="18.6" customHeight="1">
      <c r="C7" s="12" t="inlineStr">
        <is>
          <t>Customer_Gender</t>
        </is>
      </c>
      <c r="D7" s="13" t="inlineStr">
        <is>
          <t>نوع العميل</t>
        </is>
      </c>
    </row>
    <row r="8" ht="18.6" customHeight="1">
      <c r="C8" s="12" t="inlineStr">
        <is>
          <t>Country</t>
        </is>
      </c>
      <c r="D8" s="13" t="inlineStr">
        <is>
          <t>الدولة التي تمت فيها عملية البيع</t>
        </is>
      </c>
    </row>
    <row r="9" ht="18.6" customHeight="1">
      <c r="C9" s="12" t="inlineStr">
        <is>
          <t>State</t>
        </is>
      </c>
      <c r="D9" s="13" t="inlineStr">
        <is>
          <t>الولاية أو المنطقة داخل الدولة</t>
        </is>
      </c>
    </row>
    <row r="10" ht="18.6" customHeight="1">
      <c r="C10" s="12" t="inlineStr">
        <is>
          <t>Sub_Category</t>
        </is>
      </c>
      <c r="D10" s="13" t="inlineStr">
        <is>
          <t>الفئة الفرعية للمنتج</t>
        </is>
      </c>
    </row>
    <row r="11" ht="18.6" customHeight="1">
      <c r="C11" s="12" t="inlineStr">
        <is>
          <t>Bike_Color</t>
        </is>
      </c>
      <c r="D11" s="13" t="inlineStr">
        <is>
          <t>لون الدراجة</t>
        </is>
      </c>
    </row>
    <row r="12" ht="18.6" customHeight="1">
      <c r="C12" s="12" t="inlineStr">
        <is>
          <t>Product</t>
        </is>
      </c>
      <c r="D12" s="13" t="inlineStr">
        <is>
          <t>اسم المنتج ومقاسه</t>
        </is>
      </c>
    </row>
    <row r="13" ht="18.6" customHeight="1">
      <c r="C13" s="12" t="inlineStr">
        <is>
          <t>Order_Quantity</t>
        </is>
      </c>
      <c r="D13" s="13" t="inlineStr">
        <is>
          <t>عدد الوحدات التي تم بيعها في العملية</t>
        </is>
      </c>
    </row>
    <row r="14" ht="18.6" customHeight="1">
      <c r="C14" s="12" t="inlineStr">
        <is>
          <t>Unit_Cost</t>
        </is>
      </c>
      <c r="D14" s="13" t="inlineStr">
        <is>
          <t>تكلفة الوحدة الواحدة على الشركة</t>
        </is>
      </c>
    </row>
    <row r="15" ht="18.6" customHeight="1">
      <c r="C15" s="14" t="inlineStr">
        <is>
          <t>Unit_Price</t>
        </is>
      </c>
      <c r="D15" s="15" t="inlineStr">
        <is>
          <t>سعر بيع الوحدة الواحدة للعميل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53"/>
  <sheetViews>
    <sheetView zoomScale="85" workbookViewId="0">
      <pane ySplit="1" topLeftCell="A2" activePane="bottomLeft" state="frozen"/>
      <selection pane="bottomLeft" activeCell="B3" sqref="B3"/>
    </sheetView>
  </sheetViews>
  <sheetFormatPr baseColWidth="8" defaultRowHeight="14.4"/>
  <cols>
    <col width="12" bestFit="1" customWidth="1" min="1" max="1"/>
    <col width="15" bestFit="1" customWidth="1" min="2" max="2"/>
    <col width="18" bestFit="1" customWidth="1" min="3" max="3"/>
    <col width="12" bestFit="1" customWidth="1" min="4" max="4"/>
    <col width="12" bestFit="1" customWidth="1" min="5" max="5"/>
    <col width="15" bestFit="1" customWidth="1" min="6" max="6"/>
    <col width="13" bestFit="1" customWidth="1" min="7" max="7"/>
    <col width="12" bestFit="1" customWidth="1" min="8" max="8"/>
    <col width="17" bestFit="1" customWidth="1" min="9" max="9"/>
    <col width="12" bestFit="1" customWidth="1" style="1" min="10" max="10"/>
    <col width="13" bestFit="1" customWidth="1" style="1" min="11" max="11"/>
    <col width="15" customWidth="1" min="12" max="12"/>
    <col width="14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</cols>
  <sheetData>
    <row r="1" ht="18" customFormat="1" customHeight="1" s="5">
      <c r="A1" s="21" t="inlineStr">
        <is>
          <t>Date</t>
        </is>
      </c>
      <c r="B1" s="21" t="inlineStr">
        <is>
          <t>Customer_Age</t>
        </is>
      </c>
      <c r="C1" s="21" t="inlineStr">
        <is>
          <t>CustoMer_Gender</t>
        </is>
      </c>
      <c r="D1" s="21" t="inlineStr">
        <is>
          <t>Country</t>
        </is>
      </c>
      <c r="E1" s="21" t="inlineStr">
        <is>
          <t>State</t>
        </is>
      </c>
      <c r="F1" s="21" t="inlineStr">
        <is>
          <t>Sub_Category</t>
        </is>
      </c>
      <c r="G1" s="21" t="inlineStr">
        <is>
          <t>Bike_Color</t>
        </is>
      </c>
      <c r="H1" s="21" t="inlineStr">
        <is>
          <t>Product</t>
        </is>
      </c>
      <c r="I1" s="21" t="inlineStr">
        <is>
          <t>Order_Quantity</t>
        </is>
      </c>
      <c r="J1" s="22" t="inlineStr">
        <is>
          <t>Unit_Cost</t>
        </is>
      </c>
      <c r="K1" s="22" t="inlineStr">
        <is>
          <t>Unit_Price</t>
        </is>
      </c>
      <c r="L1" s="21" t="inlineStr">
        <is>
          <t>Sales_Amount</t>
        </is>
      </c>
      <c r="M1" s="21" t="inlineStr">
        <is>
          <t>Cost_Amount</t>
        </is>
      </c>
      <c r="N1" s="21" t="inlineStr">
        <is>
          <t>Profit</t>
        </is>
      </c>
      <c r="O1" s="21" t="inlineStr">
        <is>
          <t>Profit_Margin</t>
        </is>
      </c>
      <c r="P1" s="21" t="inlineStr">
        <is>
          <t>Year</t>
        </is>
      </c>
      <c r="Q1" s="21" t="inlineStr">
        <is>
          <t>Month</t>
        </is>
      </c>
      <c r="R1" s="21" t="inlineStr">
        <is>
          <t>Age_Band</t>
        </is>
      </c>
    </row>
    <row r="2" ht="17.4" customHeight="1">
      <c r="A2" s="23" t="n">
        <v>44501</v>
      </c>
      <c r="B2" s="3" t="n">
        <v>17</v>
      </c>
      <c r="C2" s="3" t="inlineStr">
        <is>
          <t>M</t>
        </is>
      </c>
      <c r="D2" s="3" t="inlineStr">
        <is>
          <t>Australia</t>
        </is>
      </c>
      <c r="E2" s="3" t="inlineStr">
        <is>
          <t>Victoria</t>
        </is>
      </c>
      <c r="F2" s="3" t="inlineStr">
        <is>
          <t>Road Bikes</t>
        </is>
      </c>
      <c r="G2" s="3" t="inlineStr">
        <is>
          <t>Black</t>
        </is>
      </c>
      <c r="H2" s="3" t="inlineStr">
        <is>
          <t>Road-750 Black, 48</t>
        </is>
      </c>
      <c r="I2" s="4" t="n">
        <v>3</v>
      </c>
      <c r="J2" s="24" t="n">
        <v>700</v>
      </c>
      <c r="K2" s="24" t="n">
        <v>1100</v>
      </c>
      <c r="L2" s="25">
        <f>I2*K2</f>
        <v/>
      </c>
      <c r="M2" s="25">
        <f>I2*J2</f>
        <v/>
      </c>
      <c r="N2" s="25">
        <f>L2-M2</f>
        <v/>
      </c>
      <c r="O2" s="26">
        <f>IFERROR(N2/L2,0)</f>
        <v/>
      </c>
      <c r="P2">
        <f>YEAR(A2)</f>
        <v/>
      </c>
      <c r="Q2">
        <f>TEXT(A2,"mmm")</f>
        <v/>
      </c>
      <c r="R2">
        <f>IF(B2&lt;25,"18-24",IF(B2&lt;35,"25-34",IF(B2&lt;45,"35-44","45+")))</f>
        <v/>
      </c>
    </row>
    <row r="3">
      <c r="A3" s="23" t="n">
        <v>44502</v>
      </c>
      <c r="B3" s="3" t="n">
        <v>17</v>
      </c>
      <c r="C3" s="3" t="inlineStr">
        <is>
          <t>M</t>
        </is>
      </c>
      <c r="D3" s="3" t="inlineStr">
        <is>
          <t>Australia</t>
        </is>
      </c>
      <c r="E3" s="3" t="inlineStr">
        <is>
          <t>New South Wales</t>
        </is>
      </c>
      <c r="F3" s="3" t="inlineStr">
        <is>
          <t>Road Bikes</t>
        </is>
      </c>
      <c r="G3" s="3" t="inlineStr">
        <is>
          <t>Red</t>
        </is>
      </c>
      <c r="H3" s="3" t="inlineStr">
        <is>
          <t>Road-650 Red, 48</t>
        </is>
      </c>
      <c r="I3" s="4" t="n">
        <v>3</v>
      </c>
      <c r="J3" s="24" t="n">
        <v>620</v>
      </c>
      <c r="K3" s="24" t="n">
        <v>980</v>
      </c>
      <c r="L3" s="25">
        <f>I3*K3</f>
        <v/>
      </c>
      <c r="M3" s="25">
        <f>I3*J3</f>
        <v/>
      </c>
      <c r="N3" s="25">
        <f>L3-M3</f>
        <v/>
      </c>
      <c r="O3" s="26">
        <f>IFERROR(N3/L3,0)</f>
        <v/>
      </c>
      <c r="P3">
        <f>YEAR(A3)</f>
        <v/>
      </c>
      <c r="Q3">
        <f>TEXT(A3,"mmm")</f>
        <v/>
      </c>
      <c r="R3">
        <f>IF(B3&lt;25,"18-24",IF(B3&lt;35,"25-34",IF(B3&lt;45,"35-44","45+")))</f>
        <v/>
      </c>
    </row>
    <row r="4">
      <c r="A4" s="23" t="n">
        <v>44502</v>
      </c>
      <c r="B4" s="3" t="n">
        <v>17</v>
      </c>
      <c r="C4" s="3" t="inlineStr">
        <is>
          <t>M</t>
        </is>
      </c>
      <c r="D4" s="3" t="inlineStr">
        <is>
          <t>Australia</t>
        </is>
      </c>
      <c r="E4" s="3" t="inlineStr">
        <is>
          <t>Victoria</t>
        </is>
      </c>
      <c r="F4" s="3" t="inlineStr">
        <is>
          <t>Road Bikes</t>
        </is>
      </c>
      <c r="G4" s="3" t="inlineStr">
        <is>
          <t>Black</t>
        </is>
      </c>
      <c r="H4" s="3" t="inlineStr">
        <is>
          <t>Road-750 Black, 48</t>
        </is>
      </c>
      <c r="I4" s="4" t="n">
        <v>3</v>
      </c>
      <c r="J4" s="24" t="n">
        <v>700</v>
      </c>
      <c r="K4" s="24" t="n">
        <v>1100</v>
      </c>
      <c r="L4" s="25">
        <f>I4*K4</f>
        <v/>
      </c>
      <c r="M4" s="25">
        <f>I4*J4</f>
        <v/>
      </c>
      <c r="N4" s="25">
        <f>L4-M4</f>
        <v/>
      </c>
      <c r="O4" s="26">
        <f>IFERROR(N4/L4,0)</f>
        <v/>
      </c>
      <c r="P4">
        <f>YEAR(A4)</f>
        <v/>
      </c>
      <c r="Q4">
        <f>TEXT(A4,"mmm")</f>
        <v/>
      </c>
      <c r="R4">
        <f>IF(B4&lt;25,"18-24",IF(B4&lt;35,"25-34",IF(B4&lt;45,"35-44","45+")))</f>
        <v/>
      </c>
    </row>
    <row r="5">
      <c r="A5" s="23" t="n">
        <v>44508</v>
      </c>
      <c r="B5" s="3" t="n">
        <v>17</v>
      </c>
      <c r="C5" s="3" t="inlineStr">
        <is>
          <t>M</t>
        </is>
      </c>
      <c r="D5" s="3" t="inlineStr">
        <is>
          <t>Australia</t>
        </is>
      </c>
      <c r="E5" s="3" t="inlineStr">
        <is>
          <t>New South Wales</t>
        </is>
      </c>
      <c r="F5" s="3" t="inlineStr">
        <is>
          <t>Road Bikes</t>
        </is>
      </c>
      <c r="G5" s="3" t="inlineStr">
        <is>
          <t>Red</t>
        </is>
      </c>
      <c r="H5" s="3" t="inlineStr">
        <is>
          <t>Road-650 Red, 48</t>
        </is>
      </c>
      <c r="I5" s="4" t="n">
        <v>1</v>
      </c>
      <c r="J5" s="24" t="n">
        <v>620</v>
      </c>
      <c r="K5" s="24" t="n">
        <v>980</v>
      </c>
      <c r="L5" s="25">
        <f>I5*K5</f>
        <v/>
      </c>
      <c r="M5" s="25">
        <f>I5*J5</f>
        <v/>
      </c>
      <c r="N5" s="25">
        <f>L5-M5</f>
        <v/>
      </c>
      <c r="O5" s="26">
        <f>IFERROR(N5/L5,0)</f>
        <v/>
      </c>
      <c r="P5">
        <f>YEAR(A5)</f>
        <v/>
      </c>
      <c r="Q5">
        <f>TEXT(A5,"mmm")</f>
        <v/>
      </c>
      <c r="R5">
        <f>IF(B5&lt;25,"18-24",IF(B5&lt;35,"25-34",IF(B5&lt;45,"35-44","45+")))</f>
        <v/>
      </c>
    </row>
    <row r="6">
      <c r="A6" s="23" t="n">
        <v>44511</v>
      </c>
      <c r="B6" s="3" t="n">
        <v>17</v>
      </c>
      <c r="C6" s="3" t="inlineStr">
        <is>
          <t>M</t>
        </is>
      </c>
      <c r="D6" s="3" t="inlineStr">
        <is>
          <t>Australia</t>
        </is>
      </c>
      <c r="E6" s="3" t="inlineStr">
        <is>
          <t>Queensland</t>
        </is>
      </c>
      <c r="F6" s="3" t="inlineStr">
        <is>
          <t>Road Bikes</t>
        </is>
      </c>
      <c r="G6" s="3" t="inlineStr">
        <is>
          <t>Red</t>
        </is>
      </c>
      <c r="H6" s="3" t="inlineStr">
        <is>
          <t>Road-650 Red, 58</t>
        </is>
      </c>
      <c r="I6" s="4" t="n">
        <v>4</v>
      </c>
      <c r="J6" s="24" t="n">
        <v>620</v>
      </c>
      <c r="K6" s="24" t="n">
        <v>980</v>
      </c>
      <c r="L6" s="25">
        <f>I6*K6</f>
        <v/>
      </c>
      <c r="M6" s="25">
        <f>I6*J6</f>
        <v/>
      </c>
      <c r="N6" s="25">
        <f>L6-M6</f>
        <v/>
      </c>
      <c r="O6" s="26">
        <f>IFERROR(N6/L6,0)</f>
        <v/>
      </c>
      <c r="P6">
        <f>YEAR(A6)</f>
        <v/>
      </c>
      <c r="Q6">
        <f>TEXT(A6,"mmm")</f>
        <v/>
      </c>
      <c r="R6">
        <f>IF(B6&lt;25,"18-24",IF(B6&lt;35,"25-34",IF(B6&lt;45,"35-44","45+")))</f>
        <v/>
      </c>
    </row>
    <row r="7">
      <c r="A7" s="23" t="n">
        <v>44518</v>
      </c>
      <c r="B7" s="3" t="n">
        <v>17</v>
      </c>
      <c r="C7" s="3" t="inlineStr">
        <is>
          <t>M</t>
        </is>
      </c>
      <c r="D7" s="3" t="inlineStr">
        <is>
          <t>Australia</t>
        </is>
      </c>
      <c r="E7" s="3" t="inlineStr">
        <is>
          <t>New South Wales</t>
        </is>
      </c>
      <c r="F7" s="3" t="inlineStr">
        <is>
          <t>Road Bikes</t>
        </is>
      </c>
      <c r="G7" s="3" t="inlineStr">
        <is>
          <t>Red</t>
        </is>
      </c>
      <c r="H7" s="3" t="inlineStr">
        <is>
          <t>Road-650 Red, 48</t>
        </is>
      </c>
      <c r="I7" s="4" t="n">
        <v>2</v>
      </c>
      <c r="J7" s="24" t="n">
        <v>620</v>
      </c>
      <c r="K7" s="24" t="n">
        <v>980</v>
      </c>
      <c r="L7" s="25">
        <f>I7*K7</f>
        <v/>
      </c>
      <c r="M7" s="25">
        <f>I7*J7</f>
        <v/>
      </c>
      <c r="N7" s="25">
        <f>L7-M7</f>
        <v/>
      </c>
      <c r="O7" s="26">
        <f>IFERROR(N7/L7,0)</f>
        <v/>
      </c>
      <c r="P7">
        <f>YEAR(A7)</f>
        <v/>
      </c>
      <c r="Q7">
        <f>TEXT(A7,"mmm")</f>
        <v/>
      </c>
      <c r="R7">
        <f>IF(B7&lt;25,"18-24",IF(B7&lt;35,"25-34",IF(B7&lt;45,"35-44","45+")))</f>
        <v/>
      </c>
    </row>
    <row r="8">
      <c r="A8" s="23" t="n">
        <v>44518</v>
      </c>
      <c r="B8" s="3" t="n">
        <v>17</v>
      </c>
      <c r="C8" s="3" t="inlineStr">
        <is>
          <t>M</t>
        </is>
      </c>
      <c r="D8" s="3" t="inlineStr">
        <is>
          <t>Australia</t>
        </is>
      </c>
      <c r="E8" s="3" t="inlineStr">
        <is>
          <t>Queensland</t>
        </is>
      </c>
      <c r="F8" s="3" t="inlineStr">
        <is>
          <t>Road Bikes</t>
        </is>
      </c>
      <c r="G8" s="3" t="inlineStr">
        <is>
          <t>Red</t>
        </is>
      </c>
      <c r="H8" s="3" t="inlineStr">
        <is>
          <t>Road-650 Red, 58</t>
        </is>
      </c>
      <c r="I8" s="4" t="n">
        <v>1</v>
      </c>
      <c r="J8" s="24" t="n">
        <v>620</v>
      </c>
      <c r="K8" s="24" t="n">
        <v>980</v>
      </c>
      <c r="L8" s="25">
        <f>I8*K8</f>
        <v/>
      </c>
      <c r="M8" s="25">
        <f>I8*J8</f>
        <v/>
      </c>
      <c r="N8" s="25">
        <f>L8-M8</f>
        <v/>
      </c>
      <c r="O8" s="26">
        <f>IFERROR(N8/L8,0)</f>
        <v/>
      </c>
      <c r="P8">
        <f>YEAR(A8)</f>
        <v/>
      </c>
      <c r="Q8">
        <f>TEXT(A8,"mmm")</f>
        <v/>
      </c>
      <c r="R8">
        <f>IF(B8&lt;25,"18-24",IF(B8&lt;35,"25-34",IF(B8&lt;45,"35-44","45+")))</f>
        <v/>
      </c>
    </row>
    <row r="9">
      <c r="A9" s="23" t="n">
        <v>44523</v>
      </c>
      <c r="B9" s="3" t="n">
        <v>17</v>
      </c>
      <c r="C9" s="3" t="inlineStr">
        <is>
          <t>M</t>
        </is>
      </c>
      <c r="D9" s="3" t="inlineStr">
        <is>
          <t>Australia</t>
        </is>
      </c>
      <c r="E9" s="3" t="inlineStr">
        <is>
          <t>New South Wales</t>
        </is>
      </c>
      <c r="F9" s="3" t="inlineStr">
        <is>
          <t>Road Bikes</t>
        </is>
      </c>
      <c r="G9" s="3" t="inlineStr">
        <is>
          <t>Red</t>
        </is>
      </c>
      <c r="H9" s="3" t="inlineStr">
        <is>
          <t>Road-650 Red, 48</t>
        </is>
      </c>
      <c r="I9" s="4" t="n">
        <v>1</v>
      </c>
      <c r="J9" s="24" t="n">
        <v>620</v>
      </c>
      <c r="K9" s="24" t="n">
        <v>980</v>
      </c>
      <c r="L9" s="25">
        <f>I9*K9</f>
        <v/>
      </c>
      <c r="M9" s="25">
        <f>I9*J9</f>
        <v/>
      </c>
      <c r="N9" s="25">
        <f>L9-M9</f>
        <v/>
      </c>
      <c r="O9" s="26">
        <f>IFERROR(N9/L9,0)</f>
        <v/>
      </c>
      <c r="P9">
        <f>YEAR(A9)</f>
        <v/>
      </c>
      <c r="Q9">
        <f>TEXT(A9,"mmm")</f>
        <v/>
      </c>
      <c r="R9">
        <f>IF(B9&lt;25,"18-24",IF(B9&lt;35,"25-34",IF(B9&lt;45,"35-44","45+")))</f>
        <v/>
      </c>
    </row>
    <row r="10">
      <c r="A10" s="23" t="n">
        <v>44526</v>
      </c>
      <c r="B10" s="3" t="n">
        <v>17</v>
      </c>
      <c r="C10" s="3" t="inlineStr">
        <is>
          <t>F</t>
        </is>
      </c>
      <c r="D10" s="3" t="inlineStr">
        <is>
          <t>Australia</t>
        </is>
      </c>
      <c r="E10" s="3" t="inlineStr">
        <is>
          <t>New South Wales</t>
        </is>
      </c>
      <c r="F10" s="3" t="inlineStr">
        <is>
          <t>Road Bikes</t>
        </is>
      </c>
      <c r="G10" s="3" t="inlineStr">
        <is>
          <t>Red</t>
        </is>
      </c>
      <c r="H10" s="3" t="inlineStr">
        <is>
          <t>Road-650 Red, 58</t>
        </is>
      </c>
      <c r="I10" s="4" t="n">
        <v>1</v>
      </c>
      <c r="J10" s="24" t="n">
        <v>620</v>
      </c>
      <c r="K10" s="24" t="n">
        <v>980</v>
      </c>
      <c r="L10" s="25">
        <f>I10*K10</f>
        <v/>
      </c>
      <c r="M10" s="25">
        <f>I10*J10</f>
        <v/>
      </c>
      <c r="N10" s="25">
        <f>L10-M10</f>
        <v/>
      </c>
      <c r="O10" s="26">
        <f>IFERROR(N10/L10,0)</f>
        <v/>
      </c>
      <c r="P10">
        <f>YEAR(A10)</f>
        <v/>
      </c>
      <c r="Q10">
        <f>TEXT(A10,"mmm")</f>
        <v/>
      </c>
      <c r="R10">
        <f>IF(B10&lt;25,"18-24",IF(B10&lt;35,"25-34",IF(B10&lt;45,"35-44","45+")))</f>
        <v/>
      </c>
    </row>
    <row r="11">
      <c r="A11" s="23" t="n">
        <v>44529</v>
      </c>
      <c r="B11" s="3" t="n">
        <v>17</v>
      </c>
      <c r="C11" s="3" t="inlineStr">
        <is>
          <t>F</t>
        </is>
      </c>
      <c r="D11" s="3" t="inlineStr">
        <is>
          <t>Australia</t>
        </is>
      </c>
      <c r="E11" s="3" t="inlineStr">
        <is>
          <t>Tasmania</t>
        </is>
      </c>
      <c r="F11" s="3" t="inlineStr">
        <is>
          <t>Road Bikes</t>
        </is>
      </c>
      <c r="G11" s="3" t="inlineStr">
        <is>
          <t>Black</t>
        </is>
      </c>
      <c r="H11" s="3" t="inlineStr">
        <is>
          <t>Road-750 Black, 48</t>
        </is>
      </c>
      <c r="I11" s="4" t="n">
        <v>4</v>
      </c>
      <c r="J11" s="24" t="n">
        <v>700</v>
      </c>
      <c r="K11" s="24" t="n">
        <v>1100</v>
      </c>
      <c r="L11" s="25">
        <f>I11*K11</f>
        <v/>
      </c>
      <c r="M11" s="25">
        <f>I11*J11</f>
        <v/>
      </c>
      <c r="N11" s="25">
        <f>L11-M11</f>
        <v/>
      </c>
      <c r="O11" s="26">
        <f>IFERROR(N11/L11,0)</f>
        <v/>
      </c>
      <c r="P11">
        <f>YEAR(A11)</f>
        <v/>
      </c>
      <c r="Q11">
        <f>TEXT(A11,"mmm")</f>
        <v/>
      </c>
      <c r="R11">
        <f>IF(B11&lt;25,"18-24",IF(B11&lt;35,"25-34",IF(B11&lt;45,"35-44","45+")))</f>
        <v/>
      </c>
    </row>
    <row r="12">
      <c r="A12" s="23" t="n">
        <v>44529</v>
      </c>
      <c r="B12" s="3" t="n">
        <v>17</v>
      </c>
      <c r="C12" s="3" t="inlineStr">
        <is>
          <t>M</t>
        </is>
      </c>
      <c r="D12" s="3" t="inlineStr">
        <is>
          <t>France</t>
        </is>
      </c>
      <c r="E12" s="3" t="inlineStr">
        <is>
          <t>Nord</t>
        </is>
      </c>
      <c r="F12" s="3" t="inlineStr">
        <is>
          <t>Mountain Bikes</t>
        </is>
      </c>
      <c r="G12" s="3" t="inlineStr">
        <is>
          <t>Silver</t>
        </is>
      </c>
      <c r="H12" s="3" t="inlineStr">
        <is>
          <t>Mountain-200 Silver, 46</t>
        </is>
      </c>
      <c r="I12" s="4" t="n">
        <v>1</v>
      </c>
      <c r="J12" s="24" t="n">
        <v>550</v>
      </c>
      <c r="K12" s="24" t="n">
        <v>850</v>
      </c>
      <c r="L12" s="25">
        <f>I12*K12</f>
        <v/>
      </c>
      <c r="M12" s="25">
        <f>I12*J12</f>
        <v/>
      </c>
      <c r="N12" s="25">
        <f>L12-M12</f>
        <v/>
      </c>
      <c r="O12" s="26">
        <f>IFERROR(N12/L12,0)</f>
        <v/>
      </c>
      <c r="P12">
        <f>YEAR(A12)</f>
        <v/>
      </c>
      <c r="Q12">
        <f>TEXT(A12,"mmm")</f>
        <v/>
      </c>
      <c r="R12">
        <f>IF(B12&lt;25,"18-24",IF(B12&lt;35,"25-34",IF(B12&lt;45,"35-44","45+")))</f>
        <v/>
      </c>
    </row>
    <row r="13">
      <c r="A13" s="23" t="n">
        <v>44530</v>
      </c>
      <c r="B13" s="3" t="n">
        <v>17</v>
      </c>
      <c r="C13" s="3" t="inlineStr">
        <is>
          <t>M</t>
        </is>
      </c>
      <c r="D13" s="3" t="inlineStr">
        <is>
          <t>Australia</t>
        </is>
      </c>
      <c r="E13" s="3" t="inlineStr">
        <is>
          <t>New South Wales</t>
        </is>
      </c>
      <c r="F13" s="3" t="inlineStr">
        <is>
          <t>Road Bikes</t>
        </is>
      </c>
      <c r="G13" s="3" t="inlineStr">
        <is>
          <t>Red</t>
        </is>
      </c>
      <c r="H13" s="3" t="inlineStr">
        <is>
          <t>Road-650 Red, 48</t>
        </is>
      </c>
      <c r="I13" s="4" t="n">
        <v>3</v>
      </c>
      <c r="J13" s="24" t="n">
        <v>620</v>
      </c>
      <c r="K13" s="24" t="n">
        <v>980</v>
      </c>
      <c r="L13" s="25">
        <f>I13*K13</f>
        <v/>
      </c>
      <c r="M13" s="25">
        <f>I13*J13</f>
        <v/>
      </c>
      <c r="N13" s="25">
        <f>L13-M13</f>
        <v/>
      </c>
      <c r="O13" s="26">
        <f>IFERROR(N13/L13,0)</f>
        <v/>
      </c>
      <c r="P13">
        <f>YEAR(A13)</f>
        <v/>
      </c>
      <c r="Q13">
        <f>TEXT(A13,"mmm")</f>
        <v/>
      </c>
      <c r="R13">
        <f>IF(B13&lt;25,"18-24",IF(B13&lt;35,"25-34",IF(B13&lt;45,"35-44","45+")))</f>
        <v/>
      </c>
    </row>
    <row r="14">
      <c r="A14" s="23" t="n">
        <v>44549</v>
      </c>
      <c r="B14" s="3" t="n">
        <v>17</v>
      </c>
      <c r="C14" s="3" t="inlineStr">
        <is>
          <t>M</t>
        </is>
      </c>
      <c r="D14" s="3" t="inlineStr">
        <is>
          <t>France</t>
        </is>
      </c>
      <c r="E14" s="3" t="inlineStr">
        <is>
          <t>Nord</t>
        </is>
      </c>
      <c r="F14" s="3" t="inlineStr">
        <is>
          <t>Mountain Bikes</t>
        </is>
      </c>
      <c r="G14" s="3" t="inlineStr">
        <is>
          <t>Silver</t>
        </is>
      </c>
      <c r="H14" s="3" t="inlineStr">
        <is>
          <t>Mountain-200 Silver, 46</t>
        </is>
      </c>
      <c r="I14" s="4" t="n">
        <v>4</v>
      </c>
      <c r="J14" s="24" t="n">
        <v>550</v>
      </c>
      <c r="K14" s="24" t="n">
        <v>850</v>
      </c>
      <c r="L14" s="25">
        <f>I14*K14</f>
        <v/>
      </c>
      <c r="M14" s="25">
        <f>I14*J14</f>
        <v/>
      </c>
      <c r="N14" s="25">
        <f>L14-M14</f>
        <v/>
      </c>
      <c r="O14" s="26">
        <f>IFERROR(N14/L14,0)</f>
        <v/>
      </c>
      <c r="P14">
        <f>YEAR(A14)</f>
        <v/>
      </c>
      <c r="Q14">
        <f>TEXT(A14,"mmm")</f>
        <v/>
      </c>
      <c r="R14">
        <f>IF(B14&lt;25,"18-24",IF(B14&lt;35,"25-34",IF(B14&lt;45,"35-44","45+")))</f>
        <v/>
      </c>
    </row>
    <row r="15">
      <c r="A15" s="23" t="n">
        <v>44482</v>
      </c>
      <c r="B15" s="3" t="n">
        <v>18</v>
      </c>
      <c r="C15" s="3" t="inlineStr">
        <is>
          <t>F</t>
        </is>
      </c>
      <c r="D15" s="3" t="inlineStr">
        <is>
          <t>United States</t>
        </is>
      </c>
      <c r="E15" s="3" t="inlineStr">
        <is>
          <t>Washington</t>
        </is>
      </c>
      <c r="F15" s="3" t="inlineStr">
        <is>
          <t>Road Bikes</t>
        </is>
      </c>
      <c r="G15" s="3" t="inlineStr">
        <is>
          <t>Red</t>
        </is>
      </c>
      <c r="H15" s="3" t="inlineStr">
        <is>
          <t>Road-150 Red, 56</t>
        </is>
      </c>
      <c r="I15" s="4" t="n">
        <v>3</v>
      </c>
      <c r="J15" s="24" t="n">
        <v>900</v>
      </c>
      <c r="K15" s="24" t="n">
        <v>1400</v>
      </c>
      <c r="L15" s="25">
        <f>I15*K15</f>
        <v/>
      </c>
      <c r="M15" s="25">
        <f>I15*J15</f>
        <v/>
      </c>
      <c r="N15" s="25">
        <f>L15-M15</f>
        <v/>
      </c>
      <c r="O15" s="26">
        <f>IFERROR(N15/L15,0)</f>
        <v/>
      </c>
      <c r="P15">
        <f>YEAR(A15)</f>
        <v/>
      </c>
      <c r="Q15">
        <f>TEXT(A15,"mmm")</f>
        <v/>
      </c>
      <c r="R15">
        <f>IF(B15&lt;25,"18-24",IF(B15&lt;35,"25-34",IF(B15&lt;45,"35-44","45+")))</f>
        <v/>
      </c>
    </row>
    <row r="16">
      <c r="A16" s="23" t="n">
        <v>44503</v>
      </c>
      <c r="B16" s="3" t="n">
        <v>18</v>
      </c>
      <c r="C16" s="3" t="inlineStr">
        <is>
          <t>F</t>
        </is>
      </c>
      <c r="D16" s="3" t="inlineStr">
        <is>
          <t>Australia</t>
        </is>
      </c>
      <c r="E16" s="3" t="inlineStr">
        <is>
          <t>Queensland</t>
        </is>
      </c>
      <c r="F16" s="3" t="inlineStr">
        <is>
          <t>Road Bikes</t>
        </is>
      </c>
      <c r="G16" s="3" t="inlineStr">
        <is>
          <t>Red</t>
        </is>
      </c>
      <c r="H16" s="3" t="inlineStr">
        <is>
          <t>Road-150 Red, 62</t>
        </is>
      </c>
      <c r="I16" s="4" t="n">
        <v>4</v>
      </c>
      <c r="J16" s="24" t="n">
        <v>900</v>
      </c>
      <c r="K16" s="24" t="n">
        <v>1400</v>
      </c>
      <c r="L16" s="25">
        <f>I16*K16</f>
        <v/>
      </c>
      <c r="M16" s="25">
        <f>I16*J16</f>
        <v/>
      </c>
      <c r="N16" s="25">
        <f>L16-M16</f>
        <v/>
      </c>
      <c r="O16" s="26">
        <f>IFERROR(N16/L16,0)</f>
        <v/>
      </c>
      <c r="P16">
        <f>YEAR(A16)</f>
        <v/>
      </c>
      <c r="Q16">
        <f>TEXT(A16,"mmm")</f>
        <v/>
      </c>
      <c r="R16">
        <f>IF(B16&lt;25,"18-24",IF(B16&lt;35,"25-34",IF(B16&lt;45,"35-44","45+")))</f>
        <v/>
      </c>
    </row>
    <row r="17">
      <c r="A17" s="23" t="n">
        <v>44507</v>
      </c>
      <c r="B17" s="3" t="n">
        <v>18</v>
      </c>
      <c r="C17" s="3" t="inlineStr">
        <is>
          <t>F</t>
        </is>
      </c>
      <c r="D17" s="3" t="inlineStr">
        <is>
          <t>Australia</t>
        </is>
      </c>
      <c r="E17" s="3" t="inlineStr">
        <is>
          <t>Queensland</t>
        </is>
      </c>
      <c r="F17" s="3" t="inlineStr">
        <is>
          <t>Road Bikes</t>
        </is>
      </c>
      <c r="G17" s="3" t="inlineStr">
        <is>
          <t>Red</t>
        </is>
      </c>
      <c r="H17" s="3" t="inlineStr">
        <is>
          <t>Road-150 Red, 62</t>
        </is>
      </c>
      <c r="I17" s="4" t="n">
        <v>1</v>
      </c>
      <c r="J17" s="24" t="n">
        <v>900</v>
      </c>
      <c r="K17" s="24" t="n">
        <v>1400</v>
      </c>
      <c r="L17" s="25">
        <f>I17*K17</f>
        <v/>
      </c>
      <c r="M17" s="25">
        <f>I17*J17</f>
        <v/>
      </c>
      <c r="N17" s="25">
        <f>L17-M17</f>
        <v/>
      </c>
      <c r="O17" s="26">
        <f>IFERROR(N17/L17,0)</f>
        <v/>
      </c>
      <c r="P17">
        <f>YEAR(A17)</f>
        <v/>
      </c>
      <c r="Q17">
        <f>TEXT(A17,"mmm")</f>
        <v/>
      </c>
      <c r="R17">
        <f>IF(B17&lt;25,"18-24",IF(B17&lt;35,"25-34",IF(B17&lt;45,"35-44","45+")))</f>
        <v/>
      </c>
    </row>
    <row r="18">
      <c r="A18" s="23" t="n">
        <v>44511</v>
      </c>
      <c r="B18" s="3" t="n">
        <v>18</v>
      </c>
      <c r="C18" s="3" t="inlineStr">
        <is>
          <t>M</t>
        </is>
      </c>
      <c r="D18" s="3" t="inlineStr">
        <is>
          <t>Australia</t>
        </is>
      </c>
      <c r="E18" s="3" t="inlineStr">
        <is>
          <t>Victoria</t>
        </is>
      </c>
      <c r="F18" s="3" t="inlineStr">
        <is>
          <t>Road Bikes</t>
        </is>
      </c>
      <c r="G18" s="3" t="inlineStr">
        <is>
          <t>Black</t>
        </is>
      </c>
      <c r="H18" s="3" t="inlineStr">
        <is>
          <t>Road-750 Black, 52</t>
        </is>
      </c>
      <c r="I18" s="4" t="n">
        <v>3</v>
      </c>
      <c r="J18" s="24" t="n">
        <v>700</v>
      </c>
      <c r="K18" s="24" t="n">
        <v>1100</v>
      </c>
      <c r="L18" s="25">
        <f>I18*K18</f>
        <v/>
      </c>
      <c r="M18" s="25">
        <f>I18*J18</f>
        <v/>
      </c>
      <c r="N18" s="25">
        <f>L18-M18</f>
        <v/>
      </c>
      <c r="O18" s="26">
        <f>IFERROR(N18/L18,0)</f>
        <v/>
      </c>
      <c r="P18">
        <f>YEAR(A18)</f>
        <v/>
      </c>
      <c r="Q18">
        <f>TEXT(A18,"mmm")</f>
        <v/>
      </c>
      <c r="R18">
        <f>IF(B18&lt;25,"18-24",IF(B18&lt;35,"25-34",IF(B18&lt;45,"35-44","45+")))</f>
        <v/>
      </c>
    </row>
    <row r="19">
      <c r="A19" s="23" t="n">
        <v>44511</v>
      </c>
      <c r="B19" s="3" t="n">
        <v>18</v>
      </c>
      <c r="C19" s="3" t="inlineStr">
        <is>
          <t>F</t>
        </is>
      </c>
      <c r="D19" s="3" t="inlineStr">
        <is>
          <t>Australia</t>
        </is>
      </c>
      <c r="E19" s="3" t="inlineStr">
        <is>
          <t>New South Wales</t>
        </is>
      </c>
      <c r="F19" s="3" t="inlineStr">
        <is>
          <t>Road Bikes</t>
        </is>
      </c>
      <c r="G19" s="3" t="inlineStr">
        <is>
          <t>Black</t>
        </is>
      </c>
      <c r="H19" s="3" t="inlineStr">
        <is>
          <t>Road-750 Black, 58</t>
        </is>
      </c>
      <c r="I19" s="4" t="n">
        <v>1</v>
      </c>
      <c r="J19" s="24" t="n">
        <v>700</v>
      </c>
      <c r="K19" s="24" t="n">
        <v>1100</v>
      </c>
      <c r="L19" s="25">
        <f>I19*K19</f>
        <v/>
      </c>
      <c r="M19" s="25">
        <f>I19*J19</f>
        <v/>
      </c>
      <c r="N19" s="25">
        <f>L19-M19</f>
        <v/>
      </c>
      <c r="O19" s="26">
        <f>IFERROR(N19/L19,0)</f>
        <v/>
      </c>
      <c r="P19">
        <f>YEAR(A19)</f>
        <v/>
      </c>
      <c r="Q19">
        <f>TEXT(A19,"mmm")</f>
        <v/>
      </c>
      <c r="R19">
        <f>IF(B19&lt;25,"18-24",IF(B19&lt;35,"25-34",IF(B19&lt;45,"35-44","45+")))</f>
        <v/>
      </c>
    </row>
    <row r="20">
      <c r="A20" s="23" t="n">
        <v>44520</v>
      </c>
      <c r="B20" s="3" t="n">
        <v>18</v>
      </c>
      <c r="C20" s="3" t="inlineStr">
        <is>
          <t>F</t>
        </is>
      </c>
      <c r="D20" s="3" t="inlineStr">
        <is>
          <t>Australia</t>
        </is>
      </c>
      <c r="E20" s="3" t="inlineStr">
        <is>
          <t>New South Wales</t>
        </is>
      </c>
      <c r="F20" s="3" t="inlineStr">
        <is>
          <t>Road Bikes</t>
        </is>
      </c>
      <c r="G20" s="3" t="inlineStr">
        <is>
          <t>Black</t>
        </is>
      </c>
      <c r="H20" s="3" t="inlineStr">
        <is>
          <t>Road-750 Black, 58</t>
        </is>
      </c>
      <c r="I20" s="4" t="n">
        <v>1</v>
      </c>
      <c r="J20" s="24" t="n">
        <v>700</v>
      </c>
      <c r="K20" s="24" t="n">
        <v>1100</v>
      </c>
      <c r="L20" s="25">
        <f>I20*K20</f>
        <v/>
      </c>
      <c r="M20" s="25">
        <f>I20*J20</f>
        <v/>
      </c>
      <c r="N20" s="25">
        <f>L20-M20</f>
        <v/>
      </c>
      <c r="O20" s="26">
        <f>IFERROR(N20/L20,0)</f>
        <v/>
      </c>
      <c r="P20">
        <f>YEAR(A20)</f>
        <v/>
      </c>
      <c r="Q20">
        <f>TEXT(A20,"mmm")</f>
        <v/>
      </c>
      <c r="R20">
        <f>IF(B20&lt;25,"18-24",IF(B20&lt;35,"25-34",IF(B20&lt;45,"35-44","45+")))</f>
        <v/>
      </c>
    </row>
    <row r="21">
      <c r="A21" s="23" t="n">
        <v>44522</v>
      </c>
      <c r="B21" s="3" t="n">
        <v>18</v>
      </c>
      <c r="C21" s="3" t="inlineStr">
        <is>
          <t>F</t>
        </is>
      </c>
      <c r="D21" s="3" t="inlineStr">
        <is>
          <t>Australia</t>
        </is>
      </c>
      <c r="E21" s="3" t="inlineStr">
        <is>
          <t>Queensland</t>
        </is>
      </c>
      <c r="F21" s="3" t="inlineStr">
        <is>
          <t>Road Bikes</t>
        </is>
      </c>
      <c r="G21" s="3" t="inlineStr">
        <is>
          <t>Red</t>
        </is>
      </c>
      <c r="H21" s="3" t="inlineStr">
        <is>
          <t>Road-150 Red, 62</t>
        </is>
      </c>
      <c r="I21" s="4" t="n">
        <v>1</v>
      </c>
      <c r="J21" s="24" t="n">
        <v>900</v>
      </c>
      <c r="K21" s="24" t="n">
        <v>1400</v>
      </c>
      <c r="L21" s="25">
        <f>I21*K21</f>
        <v/>
      </c>
      <c r="M21" s="25">
        <f>I21*J21</f>
        <v/>
      </c>
      <c r="N21" s="25">
        <f>L21-M21</f>
        <v/>
      </c>
      <c r="O21" s="26">
        <f>IFERROR(N21/L21,0)</f>
        <v/>
      </c>
      <c r="P21">
        <f>YEAR(A21)</f>
        <v/>
      </c>
      <c r="Q21">
        <f>TEXT(A21,"mmm")</f>
        <v/>
      </c>
      <c r="R21">
        <f>IF(B21&lt;25,"18-24",IF(B21&lt;35,"25-34",IF(B21&lt;45,"35-44","45+")))</f>
        <v/>
      </c>
    </row>
    <row r="22">
      <c r="A22" s="23" t="n">
        <v>44530</v>
      </c>
      <c r="B22" s="3" t="n">
        <v>18</v>
      </c>
      <c r="C22" s="3" t="inlineStr">
        <is>
          <t>M</t>
        </is>
      </c>
      <c r="D22" s="3" t="inlineStr">
        <is>
          <t>Germany</t>
        </is>
      </c>
      <c r="E22" s="3" t="inlineStr">
        <is>
          <t>Bayern</t>
        </is>
      </c>
      <c r="F22" s="3" t="inlineStr">
        <is>
          <t>Road Bikes</t>
        </is>
      </c>
      <c r="G22" s="3" t="inlineStr">
        <is>
          <t>Red</t>
        </is>
      </c>
      <c r="H22" s="3" t="inlineStr">
        <is>
          <t>Road-250 Red, 58</t>
        </is>
      </c>
      <c r="I22" s="4" t="n">
        <v>2</v>
      </c>
      <c r="J22" s="24" t="n">
        <v>580</v>
      </c>
      <c r="K22" s="24" t="n">
        <v>920</v>
      </c>
      <c r="L22" s="25">
        <f>I22*K22</f>
        <v/>
      </c>
      <c r="M22" s="25">
        <f>I22*J22</f>
        <v/>
      </c>
      <c r="N22" s="25">
        <f>L22-M22</f>
        <v/>
      </c>
      <c r="O22" s="26">
        <f>IFERROR(N22/L22,0)</f>
        <v/>
      </c>
      <c r="P22">
        <f>YEAR(A22)</f>
        <v/>
      </c>
      <c r="Q22">
        <f>TEXT(A22,"mmm")</f>
        <v/>
      </c>
      <c r="R22">
        <f>IF(B22&lt;25,"18-24",IF(B22&lt;35,"25-34",IF(B22&lt;45,"35-44","45+")))</f>
        <v/>
      </c>
    </row>
    <row r="23">
      <c r="A23" s="23" t="n">
        <v>44541</v>
      </c>
      <c r="B23" s="3" t="n">
        <v>18</v>
      </c>
      <c r="C23" s="3" t="inlineStr">
        <is>
          <t>F</t>
        </is>
      </c>
      <c r="D23" s="3" t="inlineStr">
        <is>
          <t>United States</t>
        </is>
      </c>
      <c r="E23" s="3" t="inlineStr">
        <is>
          <t>California</t>
        </is>
      </c>
      <c r="F23" s="3" t="inlineStr">
        <is>
          <t>Road Bikes</t>
        </is>
      </c>
      <c r="G23" s="3" t="inlineStr">
        <is>
          <t>Black</t>
        </is>
      </c>
      <c r="H23" s="3" t="inlineStr">
        <is>
          <t>Road-650 Black, 62</t>
        </is>
      </c>
      <c r="I23" s="4" t="n">
        <v>1</v>
      </c>
      <c r="J23" s="24" t="n">
        <v>620</v>
      </c>
      <c r="K23" s="24" t="n">
        <v>980</v>
      </c>
      <c r="L23" s="25">
        <f>I23*K23</f>
        <v/>
      </c>
      <c r="M23" s="25">
        <f>I23*J23</f>
        <v/>
      </c>
      <c r="N23" s="25">
        <f>L23-M23</f>
        <v/>
      </c>
      <c r="O23" s="26">
        <f>IFERROR(N23/L23,0)</f>
        <v/>
      </c>
      <c r="P23">
        <f>YEAR(A23)</f>
        <v/>
      </c>
      <c r="Q23">
        <f>TEXT(A23,"mmm")</f>
        <v/>
      </c>
      <c r="R23">
        <f>IF(B23&lt;25,"18-24",IF(B23&lt;35,"25-34",IF(B23&lt;45,"35-44","45+")))</f>
        <v/>
      </c>
    </row>
    <row r="24">
      <c r="A24" s="23" t="n">
        <v>44542</v>
      </c>
      <c r="B24" s="3" t="n">
        <v>18</v>
      </c>
      <c r="C24" s="3" t="inlineStr">
        <is>
          <t>M</t>
        </is>
      </c>
      <c r="D24" s="3" t="inlineStr">
        <is>
          <t>Germany</t>
        </is>
      </c>
      <c r="E24" s="3" t="inlineStr">
        <is>
          <t>Hessen</t>
        </is>
      </c>
      <c r="F24" s="3" t="inlineStr">
        <is>
          <t>Road Bikes</t>
        </is>
      </c>
      <c r="G24" s="3" t="inlineStr">
        <is>
          <t>Black</t>
        </is>
      </c>
      <c r="H24" s="3" t="inlineStr">
        <is>
          <t>Road-250 Black, 52</t>
        </is>
      </c>
      <c r="I24" s="4" t="n">
        <v>3</v>
      </c>
      <c r="J24" s="24" t="n">
        <v>580</v>
      </c>
      <c r="K24" s="24" t="n">
        <v>920</v>
      </c>
      <c r="L24" s="25">
        <f>I24*K24</f>
        <v/>
      </c>
      <c r="M24" s="25">
        <f>I24*J24</f>
        <v/>
      </c>
      <c r="N24" s="25">
        <f>L24-M24</f>
        <v/>
      </c>
      <c r="O24" s="26">
        <f>IFERROR(N24/L24,0)</f>
        <v/>
      </c>
      <c r="P24">
        <f>YEAR(A24)</f>
        <v/>
      </c>
      <c r="Q24">
        <f>TEXT(A24,"mmm")</f>
        <v/>
      </c>
      <c r="R24">
        <f>IF(B24&lt;25,"18-24",IF(B24&lt;35,"25-34",IF(B24&lt;45,"35-44","45+")))</f>
        <v/>
      </c>
    </row>
    <row r="25">
      <c r="A25" s="23" t="n">
        <v>44546</v>
      </c>
      <c r="B25" s="3" t="n">
        <v>18</v>
      </c>
      <c r="C25" s="3" t="inlineStr">
        <is>
          <t>F</t>
        </is>
      </c>
      <c r="D25" s="3" t="inlineStr">
        <is>
          <t>United States</t>
        </is>
      </c>
      <c r="E25" s="3" t="inlineStr">
        <is>
          <t>Oregon</t>
        </is>
      </c>
      <c r="F25" s="3" t="inlineStr">
        <is>
          <t>Road Bikes</t>
        </is>
      </c>
      <c r="G25" s="3" t="inlineStr">
        <is>
          <t>Red</t>
        </is>
      </c>
      <c r="H25" s="3" t="inlineStr">
        <is>
          <t>Road-650 Red, 48</t>
        </is>
      </c>
      <c r="I25" s="4" t="n">
        <v>1</v>
      </c>
      <c r="J25" s="24" t="n">
        <v>620</v>
      </c>
      <c r="K25" s="24" t="n">
        <v>980</v>
      </c>
      <c r="L25" s="25">
        <f>I25*K25</f>
        <v/>
      </c>
      <c r="M25" s="25">
        <f>I25*J25</f>
        <v/>
      </c>
      <c r="N25" s="25">
        <f>L25-M25</f>
        <v/>
      </c>
      <c r="O25" s="26">
        <f>IFERROR(N25/L25,0)</f>
        <v/>
      </c>
      <c r="P25">
        <f>YEAR(A25)</f>
        <v/>
      </c>
      <c r="Q25">
        <f>TEXT(A25,"mmm")</f>
        <v/>
      </c>
      <c r="R25">
        <f>IF(B25&lt;25,"18-24",IF(B25&lt;35,"25-34",IF(B25&lt;45,"35-44","45+")))</f>
        <v/>
      </c>
    </row>
    <row r="26">
      <c r="A26" s="23" t="n">
        <v>44547</v>
      </c>
      <c r="B26" s="3" t="n">
        <v>18</v>
      </c>
      <c r="C26" s="3" t="inlineStr">
        <is>
          <t>M</t>
        </is>
      </c>
      <c r="D26" s="3" t="inlineStr">
        <is>
          <t>United States</t>
        </is>
      </c>
      <c r="E26" s="3" t="inlineStr">
        <is>
          <t>California</t>
        </is>
      </c>
      <c r="F26" s="3" t="inlineStr">
        <is>
          <t>Road Bikes</t>
        </is>
      </c>
      <c r="G26" s="3" t="inlineStr">
        <is>
          <t>Yellow</t>
        </is>
      </c>
      <c r="H26" s="3" t="inlineStr">
        <is>
          <t>Road-550-W Yellow, 40</t>
        </is>
      </c>
      <c r="I26" s="4" t="n">
        <v>4</v>
      </c>
      <c r="J26" s="24" t="n">
        <v>500</v>
      </c>
      <c r="K26" s="24" t="n">
        <v>800</v>
      </c>
      <c r="L26" s="25">
        <f>I26*K26</f>
        <v/>
      </c>
      <c r="M26" s="25">
        <f>I26*J26</f>
        <v/>
      </c>
      <c r="N26" s="25">
        <f>L26-M26</f>
        <v/>
      </c>
      <c r="O26" s="26">
        <f>IFERROR(N26/L26,0)</f>
        <v/>
      </c>
      <c r="P26">
        <f>YEAR(A26)</f>
        <v/>
      </c>
      <c r="Q26">
        <f>TEXT(A26,"mmm")</f>
        <v/>
      </c>
      <c r="R26">
        <f>IF(B26&lt;25,"18-24",IF(B26&lt;35,"25-34",IF(B26&lt;45,"35-44","45+")))</f>
        <v/>
      </c>
    </row>
    <row r="27">
      <c r="A27" s="23" t="n">
        <v>44549</v>
      </c>
      <c r="B27" s="3" t="n">
        <v>18</v>
      </c>
      <c r="C27" s="3" t="inlineStr">
        <is>
          <t>M</t>
        </is>
      </c>
      <c r="D27" s="3" t="inlineStr">
        <is>
          <t>Australia</t>
        </is>
      </c>
      <c r="E27" s="3" t="inlineStr">
        <is>
          <t>South Australia</t>
        </is>
      </c>
      <c r="F27" s="3" t="inlineStr">
        <is>
          <t>Mountain Bikes</t>
        </is>
      </c>
      <c r="G27" s="3" t="inlineStr">
        <is>
          <t>Black</t>
        </is>
      </c>
      <c r="H27" s="3" t="inlineStr">
        <is>
          <t>Mountain-500 Black, 40</t>
        </is>
      </c>
      <c r="I27" s="4" t="n">
        <v>2</v>
      </c>
      <c r="J27" s="24" t="n">
        <v>480</v>
      </c>
      <c r="K27" s="24" t="n">
        <v>760</v>
      </c>
      <c r="L27" s="25">
        <f>I27*K27</f>
        <v/>
      </c>
      <c r="M27" s="25">
        <f>I27*J27</f>
        <v/>
      </c>
      <c r="N27" s="25">
        <f>L27-M27</f>
        <v/>
      </c>
      <c r="O27" s="26">
        <f>IFERROR(N27/L27,0)</f>
        <v/>
      </c>
      <c r="P27">
        <f>YEAR(A27)</f>
        <v/>
      </c>
      <c r="Q27">
        <f>TEXT(A27,"mmm")</f>
        <v/>
      </c>
      <c r="R27">
        <f>IF(B27&lt;25,"18-24",IF(B27&lt;35,"25-34",IF(B27&lt;45,"35-44","45+")))</f>
        <v/>
      </c>
    </row>
    <row r="28">
      <c r="A28" s="23" t="n">
        <v>44552</v>
      </c>
      <c r="B28" s="3" t="n">
        <v>18</v>
      </c>
      <c r="C28" s="3" t="inlineStr">
        <is>
          <t>M</t>
        </is>
      </c>
      <c r="D28" s="3" t="inlineStr">
        <is>
          <t>United States</t>
        </is>
      </c>
      <c r="E28" s="3" t="inlineStr">
        <is>
          <t>California</t>
        </is>
      </c>
      <c r="F28" s="3" t="inlineStr">
        <is>
          <t>Road Bikes</t>
        </is>
      </c>
      <c r="G28" s="3" t="inlineStr">
        <is>
          <t>Yellow</t>
        </is>
      </c>
      <c r="H28" s="3" t="inlineStr">
        <is>
          <t>Road-550-W Yellow, 40</t>
        </is>
      </c>
      <c r="I28" s="4" t="n">
        <v>1</v>
      </c>
      <c r="J28" s="24" t="n">
        <v>500</v>
      </c>
      <c r="K28" s="24" t="n">
        <v>800</v>
      </c>
      <c r="L28" s="25">
        <f>I28*K28</f>
        <v/>
      </c>
      <c r="M28" s="25">
        <f>I28*J28</f>
        <v/>
      </c>
      <c r="N28" s="25">
        <f>L28-M28</f>
        <v/>
      </c>
      <c r="O28" s="26">
        <f>IFERROR(N28/L28,0)</f>
        <v/>
      </c>
      <c r="P28">
        <f>YEAR(A28)</f>
        <v/>
      </c>
      <c r="Q28">
        <f>TEXT(A28,"mmm")</f>
        <v/>
      </c>
      <c r="R28">
        <f>IF(B28&lt;25,"18-24",IF(B28&lt;35,"25-34",IF(B28&lt;45,"35-44","45+")))</f>
        <v/>
      </c>
    </row>
    <row r="29">
      <c r="A29" s="23" t="n">
        <v>44493</v>
      </c>
      <c r="B29" s="3" t="n">
        <v>19</v>
      </c>
      <c r="C29" s="3" t="inlineStr">
        <is>
          <t>M</t>
        </is>
      </c>
      <c r="D29" s="3" t="inlineStr">
        <is>
          <t>Canada</t>
        </is>
      </c>
      <c r="E29" s="3" t="inlineStr">
        <is>
          <t>British Columbia</t>
        </is>
      </c>
      <c r="F29" s="3" t="inlineStr">
        <is>
          <t>Road Bikes</t>
        </is>
      </c>
      <c r="G29" s="3" t="inlineStr">
        <is>
          <t>Red</t>
        </is>
      </c>
      <c r="H29" s="3" t="inlineStr">
        <is>
          <t>Road-150 Red, 56</t>
        </is>
      </c>
      <c r="I29" s="4" t="n">
        <v>3</v>
      </c>
      <c r="J29" s="24" t="n">
        <v>900</v>
      </c>
      <c r="K29" s="24" t="n">
        <v>1400</v>
      </c>
      <c r="L29" s="25">
        <f>I29*K29</f>
        <v/>
      </c>
      <c r="M29" s="25">
        <f>I29*J29</f>
        <v/>
      </c>
      <c r="N29" s="25">
        <f>L29-M29</f>
        <v/>
      </c>
      <c r="O29" s="26">
        <f>IFERROR(N29/L29,0)</f>
        <v/>
      </c>
      <c r="P29">
        <f>YEAR(A29)</f>
        <v/>
      </c>
      <c r="Q29">
        <f>TEXT(A29,"mmm")</f>
        <v/>
      </c>
      <c r="R29">
        <f>IF(B29&lt;25,"18-24",IF(B29&lt;35,"25-34",IF(B29&lt;45,"35-44","45+")))</f>
        <v/>
      </c>
    </row>
    <row r="30">
      <c r="A30" s="23" t="n">
        <v>44502</v>
      </c>
      <c r="B30" s="3" t="n">
        <v>19</v>
      </c>
      <c r="C30" s="3" t="inlineStr">
        <is>
          <t>M</t>
        </is>
      </c>
      <c r="D30" s="3" t="inlineStr">
        <is>
          <t>United States</t>
        </is>
      </c>
      <c r="E30" s="3" t="inlineStr">
        <is>
          <t>California</t>
        </is>
      </c>
      <c r="F30" s="3" t="inlineStr">
        <is>
          <t>Mountain Bikes</t>
        </is>
      </c>
      <c r="G30" s="3" t="inlineStr">
        <is>
          <t>Silver</t>
        </is>
      </c>
      <c r="H30" s="3" t="inlineStr">
        <is>
          <t>Mountain-400-W Silver, 42</t>
        </is>
      </c>
      <c r="I30" s="4" t="n">
        <v>4</v>
      </c>
      <c r="J30" s="24" t="n">
        <v>450</v>
      </c>
      <c r="K30" s="24" t="n">
        <v>720</v>
      </c>
      <c r="L30" s="25">
        <f>I30*K30</f>
        <v/>
      </c>
      <c r="M30" s="25">
        <f>I30*J30</f>
        <v/>
      </c>
      <c r="N30" s="25">
        <f>L30-M30</f>
        <v/>
      </c>
      <c r="O30" s="26">
        <f>IFERROR(N30/L30,0)</f>
        <v/>
      </c>
      <c r="P30">
        <f>YEAR(A30)</f>
        <v/>
      </c>
      <c r="Q30">
        <f>TEXT(A30,"mmm")</f>
        <v/>
      </c>
      <c r="R30">
        <f>IF(B30&lt;25,"18-24",IF(B30&lt;35,"25-34",IF(B30&lt;45,"35-44","45+")))</f>
        <v/>
      </c>
    </row>
    <row r="31">
      <c r="A31" s="23" t="n">
        <v>44506</v>
      </c>
      <c r="B31" s="3" t="n">
        <v>19</v>
      </c>
      <c r="C31" s="3" t="inlineStr">
        <is>
          <t>F</t>
        </is>
      </c>
      <c r="D31" s="3" t="inlineStr">
        <is>
          <t>Australia</t>
        </is>
      </c>
      <c r="E31" s="3" t="inlineStr">
        <is>
          <t>Queensland</t>
        </is>
      </c>
      <c r="F31" s="3" t="inlineStr">
        <is>
          <t>Road Bikes</t>
        </is>
      </c>
      <c r="G31" s="3" t="inlineStr">
        <is>
          <t>Black</t>
        </is>
      </c>
      <c r="H31" s="3" t="inlineStr">
        <is>
          <t>Road-750 Black, 52</t>
        </is>
      </c>
      <c r="I31" s="4" t="n">
        <v>1</v>
      </c>
      <c r="J31" s="24" t="n">
        <v>700</v>
      </c>
      <c r="K31" s="24" t="n">
        <v>1100</v>
      </c>
      <c r="L31" s="25">
        <f>I31*K31</f>
        <v/>
      </c>
      <c r="M31" s="25">
        <f>I31*J31</f>
        <v/>
      </c>
      <c r="N31" s="25">
        <f>L31-M31</f>
        <v/>
      </c>
      <c r="O31" s="26">
        <f>IFERROR(N31/L31,0)</f>
        <v/>
      </c>
      <c r="P31">
        <f>YEAR(A31)</f>
        <v/>
      </c>
      <c r="Q31">
        <f>TEXT(A31,"mmm")</f>
        <v/>
      </c>
      <c r="R31">
        <f>IF(B31&lt;25,"18-24",IF(B31&lt;35,"25-34",IF(B31&lt;45,"35-44","45+")))</f>
        <v/>
      </c>
    </row>
    <row r="32">
      <c r="A32" s="23" t="n">
        <v>44514</v>
      </c>
      <c r="B32" s="3" t="n">
        <v>19</v>
      </c>
      <c r="C32" s="3" t="inlineStr">
        <is>
          <t>F</t>
        </is>
      </c>
      <c r="D32" s="3" t="inlineStr">
        <is>
          <t>Germany</t>
        </is>
      </c>
      <c r="E32" s="3" t="inlineStr">
        <is>
          <t>Nordrhein-Westfalen</t>
        </is>
      </c>
      <c r="F32" s="3" t="inlineStr">
        <is>
          <t>Road Bikes</t>
        </is>
      </c>
      <c r="G32" s="3" t="inlineStr">
        <is>
          <t>Black</t>
        </is>
      </c>
      <c r="H32" s="3" t="inlineStr">
        <is>
          <t>Road-250 Black, 58</t>
        </is>
      </c>
      <c r="I32" s="4" t="n">
        <v>3</v>
      </c>
      <c r="J32" s="24" t="n">
        <v>580</v>
      </c>
      <c r="K32" s="24" t="n">
        <v>920</v>
      </c>
      <c r="L32" s="25">
        <f>I32*K32</f>
        <v/>
      </c>
      <c r="M32" s="25">
        <f>I32*J32</f>
        <v/>
      </c>
      <c r="N32" s="25">
        <f>L32-M32</f>
        <v/>
      </c>
      <c r="O32" s="26">
        <f>IFERROR(N32/L32,0)</f>
        <v/>
      </c>
      <c r="P32">
        <f>YEAR(A32)</f>
        <v/>
      </c>
      <c r="Q32">
        <f>TEXT(A32,"mmm")</f>
        <v/>
      </c>
      <c r="R32">
        <f>IF(B32&lt;25,"18-24",IF(B32&lt;35,"25-34",IF(B32&lt;45,"35-44","45+")))</f>
        <v/>
      </c>
    </row>
    <row r="33">
      <c r="A33" s="23" t="n">
        <v>44515</v>
      </c>
      <c r="B33" s="3" t="n">
        <v>19</v>
      </c>
      <c r="C33" s="3" t="inlineStr">
        <is>
          <t>F</t>
        </is>
      </c>
      <c r="D33" s="3" t="inlineStr">
        <is>
          <t>United States</t>
        </is>
      </c>
      <c r="E33" s="3" t="inlineStr">
        <is>
          <t>California</t>
        </is>
      </c>
      <c r="F33" s="3" t="inlineStr">
        <is>
          <t>Mountain Bikes</t>
        </is>
      </c>
      <c r="G33" s="3" t="inlineStr">
        <is>
          <t>Black</t>
        </is>
      </c>
      <c r="H33" s="3" t="inlineStr">
        <is>
          <t>Mountain-200 Black, 46</t>
        </is>
      </c>
      <c r="I33" s="4" t="n">
        <v>1</v>
      </c>
      <c r="J33" s="24" t="n">
        <v>550</v>
      </c>
      <c r="K33" s="24" t="n">
        <v>850</v>
      </c>
      <c r="L33" s="25">
        <f>I33*K33</f>
        <v/>
      </c>
      <c r="M33" s="25">
        <f>I33*J33</f>
        <v/>
      </c>
      <c r="N33" s="25">
        <f>L33-M33</f>
        <v/>
      </c>
      <c r="O33" s="26">
        <f>IFERROR(N33/L33,0)</f>
        <v/>
      </c>
      <c r="P33">
        <f>YEAR(A33)</f>
        <v/>
      </c>
      <c r="Q33">
        <f>TEXT(A33,"mmm")</f>
        <v/>
      </c>
      <c r="R33">
        <f>IF(B33&lt;25,"18-24",IF(B33&lt;35,"25-34",IF(B33&lt;45,"35-44","45+")))</f>
        <v/>
      </c>
    </row>
    <row r="34">
      <c r="A34" s="23" t="n">
        <v>44525</v>
      </c>
      <c r="B34" s="3" t="n">
        <v>19</v>
      </c>
      <c r="C34" s="3" t="inlineStr">
        <is>
          <t>F</t>
        </is>
      </c>
      <c r="D34" s="3" t="inlineStr">
        <is>
          <t>Australia</t>
        </is>
      </c>
      <c r="E34" s="3" t="inlineStr">
        <is>
          <t>New South Wales</t>
        </is>
      </c>
      <c r="F34" s="3" t="inlineStr">
        <is>
          <t>Road Bikes</t>
        </is>
      </c>
      <c r="G34" s="3" t="inlineStr">
        <is>
          <t>Red</t>
        </is>
      </c>
      <c r="H34" s="3" t="inlineStr">
        <is>
          <t>Road-150 Red, 48</t>
        </is>
      </c>
      <c r="I34" s="4" t="n">
        <v>2</v>
      </c>
      <c r="J34" s="24" t="n">
        <v>900</v>
      </c>
      <c r="K34" s="24" t="n">
        <v>1400</v>
      </c>
      <c r="L34" s="25">
        <f>I34*K34</f>
        <v/>
      </c>
      <c r="M34" s="25">
        <f>I34*J34</f>
        <v/>
      </c>
      <c r="N34" s="25">
        <f>L34-M34</f>
        <v/>
      </c>
      <c r="O34" s="26">
        <f>IFERROR(N34/L34,0)</f>
        <v/>
      </c>
      <c r="P34">
        <f>YEAR(A34)</f>
        <v/>
      </c>
      <c r="Q34">
        <f>TEXT(A34,"mmm")</f>
        <v/>
      </c>
      <c r="R34">
        <f>IF(B34&lt;25,"18-24",IF(B34&lt;35,"25-34",IF(B34&lt;45,"35-44","45+")))</f>
        <v/>
      </c>
    </row>
    <row r="35">
      <c r="A35" s="23" t="n">
        <v>44537</v>
      </c>
      <c r="B35" s="3" t="n">
        <v>19</v>
      </c>
      <c r="C35" s="3" t="inlineStr">
        <is>
          <t>M</t>
        </is>
      </c>
      <c r="D35" s="3" t="inlineStr">
        <is>
          <t>United States</t>
        </is>
      </c>
      <c r="E35" s="3" t="inlineStr">
        <is>
          <t>California</t>
        </is>
      </c>
      <c r="F35" s="3" t="inlineStr">
        <is>
          <t>Road Bikes</t>
        </is>
      </c>
      <c r="G35" s="3" t="inlineStr">
        <is>
          <t>Yellow</t>
        </is>
      </c>
      <c r="H35" s="3" t="inlineStr">
        <is>
          <t>Road-550-W Yellow, 42</t>
        </is>
      </c>
      <c r="I35" s="4" t="n">
        <v>1</v>
      </c>
      <c r="J35" s="24" t="n">
        <v>500</v>
      </c>
      <c r="K35" s="24" t="n">
        <v>800</v>
      </c>
      <c r="L35" s="25">
        <f>I35*K35</f>
        <v/>
      </c>
      <c r="M35" s="25">
        <f>I35*J35</f>
        <v/>
      </c>
      <c r="N35" s="25">
        <f>L35-M35</f>
        <v/>
      </c>
      <c r="O35" s="26">
        <f>IFERROR(N35/L35,0)</f>
        <v/>
      </c>
      <c r="P35">
        <f>YEAR(A35)</f>
        <v/>
      </c>
      <c r="Q35">
        <f>TEXT(A35,"mmm")</f>
        <v/>
      </c>
      <c r="R35">
        <f>IF(B35&lt;25,"18-24",IF(B35&lt;35,"25-34",IF(B35&lt;45,"35-44","45+")))</f>
        <v/>
      </c>
    </row>
    <row r="36">
      <c r="A36" s="23" t="n">
        <v>44538</v>
      </c>
      <c r="B36" s="3" t="n">
        <v>19</v>
      </c>
      <c r="C36" s="3" t="inlineStr">
        <is>
          <t>F</t>
        </is>
      </c>
      <c r="D36" s="3" t="inlineStr">
        <is>
          <t>Australia</t>
        </is>
      </c>
      <c r="E36" s="3" t="inlineStr">
        <is>
          <t>New South Wales</t>
        </is>
      </c>
      <c r="F36" s="3" t="inlineStr">
        <is>
          <t>Mountain Bikes</t>
        </is>
      </c>
      <c r="G36" s="3" t="inlineStr">
        <is>
          <t>Silver</t>
        </is>
      </c>
      <c r="H36" s="3" t="inlineStr">
        <is>
          <t>Mountain-500 Silver, 42</t>
        </is>
      </c>
      <c r="I36" s="4" t="n">
        <v>4</v>
      </c>
      <c r="J36" s="24" t="n">
        <v>480</v>
      </c>
      <c r="K36" s="24" t="n">
        <v>760</v>
      </c>
      <c r="L36" s="25">
        <f>I36*K36</f>
        <v/>
      </c>
      <c r="M36" s="25">
        <f>I36*J36</f>
        <v/>
      </c>
      <c r="N36" s="25">
        <f>L36-M36</f>
        <v/>
      </c>
      <c r="O36" s="26">
        <f>IFERROR(N36/L36,0)</f>
        <v/>
      </c>
      <c r="P36">
        <f>YEAR(A36)</f>
        <v/>
      </c>
      <c r="Q36">
        <f>TEXT(A36,"mmm")</f>
        <v/>
      </c>
      <c r="R36">
        <f>IF(B36&lt;25,"18-24",IF(B36&lt;35,"25-34",IF(B36&lt;45,"35-44","45+")))</f>
        <v/>
      </c>
    </row>
    <row r="37">
      <c r="A37" s="23" t="n">
        <v>44549</v>
      </c>
      <c r="B37" s="3" t="n">
        <v>19</v>
      </c>
      <c r="C37" s="3" t="inlineStr">
        <is>
          <t>F</t>
        </is>
      </c>
      <c r="D37" s="3" t="inlineStr">
        <is>
          <t>Australia</t>
        </is>
      </c>
      <c r="E37" s="3" t="inlineStr">
        <is>
          <t>Victoria</t>
        </is>
      </c>
      <c r="F37" s="3" t="inlineStr">
        <is>
          <t>Mountain Bikes</t>
        </is>
      </c>
      <c r="G37" s="3" t="inlineStr">
        <is>
          <t>Black</t>
        </is>
      </c>
      <c r="H37" s="3" t="inlineStr">
        <is>
          <t>Mountain-500 Black, 44</t>
        </is>
      </c>
      <c r="I37" s="4" t="n">
        <v>4</v>
      </c>
      <c r="J37" s="24" t="n">
        <v>480</v>
      </c>
      <c r="K37" s="24" t="n">
        <v>760</v>
      </c>
      <c r="L37" s="25">
        <f>I37*K37</f>
        <v/>
      </c>
      <c r="M37" s="25">
        <f>I37*J37</f>
        <v/>
      </c>
      <c r="N37" s="25">
        <f>L37-M37</f>
        <v/>
      </c>
      <c r="O37" s="26">
        <f>IFERROR(N37/L37,0)</f>
        <v/>
      </c>
      <c r="P37">
        <f>YEAR(A37)</f>
        <v/>
      </c>
      <c r="Q37">
        <f>TEXT(A37,"mmm")</f>
        <v/>
      </c>
      <c r="R37">
        <f>IF(B37&lt;25,"18-24",IF(B37&lt;35,"25-34",IF(B37&lt;45,"35-44","45+")))</f>
        <v/>
      </c>
    </row>
    <row r="38">
      <c r="A38" s="23" t="n">
        <v>44552</v>
      </c>
      <c r="B38" s="3" t="n">
        <v>19</v>
      </c>
      <c r="C38" s="3" t="inlineStr">
        <is>
          <t>F</t>
        </is>
      </c>
      <c r="D38" s="3" t="inlineStr">
        <is>
          <t>Australia</t>
        </is>
      </c>
      <c r="E38" s="3" t="inlineStr">
        <is>
          <t>New South Wales</t>
        </is>
      </c>
      <c r="F38" s="3" t="inlineStr">
        <is>
          <t>Mountain Bikes</t>
        </is>
      </c>
      <c r="G38" s="3" t="inlineStr">
        <is>
          <t>Silver</t>
        </is>
      </c>
      <c r="H38" s="3" t="inlineStr">
        <is>
          <t>Mountain-500 Silver, 42</t>
        </is>
      </c>
      <c r="I38" s="4" t="n">
        <v>1</v>
      </c>
      <c r="J38" s="24" t="n">
        <v>480</v>
      </c>
      <c r="K38" s="24" t="n">
        <v>760</v>
      </c>
      <c r="L38" s="25">
        <f>I38*K38</f>
        <v/>
      </c>
      <c r="M38" s="25">
        <f>I38*J38</f>
        <v/>
      </c>
      <c r="N38" s="25">
        <f>L38-M38</f>
        <v/>
      </c>
      <c r="O38" s="26">
        <f>IFERROR(N38/L38,0)</f>
        <v/>
      </c>
      <c r="P38">
        <f>YEAR(A38)</f>
        <v/>
      </c>
      <c r="Q38">
        <f>TEXT(A38,"mmm")</f>
        <v/>
      </c>
      <c r="R38">
        <f>IF(B38&lt;25,"18-24",IF(B38&lt;35,"25-34",IF(B38&lt;45,"35-44","45+")))</f>
        <v/>
      </c>
    </row>
    <row r="39">
      <c r="A39" s="23" t="n">
        <v>44553</v>
      </c>
      <c r="B39" s="3" t="n">
        <v>19</v>
      </c>
      <c r="C39" s="3" t="inlineStr">
        <is>
          <t>M</t>
        </is>
      </c>
      <c r="D39" s="3" t="inlineStr">
        <is>
          <t>United States</t>
        </is>
      </c>
      <c r="E39" s="3" t="inlineStr">
        <is>
          <t>California</t>
        </is>
      </c>
      <c r="F39" s="3" t="inlineStr">
        <is>
          <t>Road Bikes</t>
        </is>
      </c>
      <c r="G39" s="3" t="inlineStr">
        <is>
          <t>Yellow</t>
        </is>
      </c>
      <c r="H39" s="3" t="inlineStr">
        <is>
          <t>Road-550-W Yellow, 42</t>
        </is>
      </c>
      <c r="I39" s="4" t="n">
        <v>1</v>
      </c>
      <c r="J39" s="24" t="n">
        <v>500</v>
      </c>
      <c r="K39" s="24" t="n">
        <v>800</v>
      </c>
      <c r="L39" s="25">
        <f>I39*K39</f>
        <v/>
      </c>
      <c r="M39" s="25">
        <f>I39*J39</f>
        <v/>
      </c>
      <c r="N39" s="25">
        <f>L39-M39</f>
        <v/>
      </c>
      <c r="O39" s="26">
        <f>IFERROR(N39/L39,0)</f>
        <v/>
      </c>
      <c r="P39">
        <f>YEAR(A39)</f>
        <v/>
      </c>
      <c r="Q39">
        <f>TEXT(A39,"mmm")</f>
        <v/>
      </c>
      <c r="R39">
        <f>IF(B39&lt;25,"18-24",IF(B39&lt;35,"25-34",IF(B39&lt;45,"35-44","45+")))</f>
        <v/>
      </c>
    </row>
    <row r="40">
      <c r="A40" s="23" t="n">
        <v>44554</v>
      </c>
      <c r="B40" s="3" t="n">
        <v>19</v>
      </c>
      <c r="C40" s="3" t="inlineStr">
        <is>
          <t>F</t>
        </is>
      </c>
      <c r="D40" s="3" t="inlineStr">
        <is>
          <t>Australia</t>
        </is>
      </c>
      <c r="E40" s="3" t="inlineStr">
        <is>
          <t>South Australia</t>
        </is>
      </c>
      <c r="F40" s="3" t="inlineStr">
        <is>
          <t>Mountain Bikes</t>
        </is>
      </c>
      <c r="G40" s="3" t="inlineStr">
        <is>
          <t>Silver</t>
        </is>
      </c>
      <c r="H40" s="3" t="inlineStr">
        <is>
          <t>Mountain-200 Silver, 38</t>
        </is>
      </c>
      <c r="I40" s="4" t="n">
        <v>2</v>
      </c>
      <c r="J40" s="24" t="n">
        <v>550</v>
      </c>
      <c r="K40" s="24" t="n">
        <v>850</v>
      </c>
      <c r="L40" s="25">
        <f>I40*K40</f>
        <v/>
      </c>
      <c r="M40" s="25">
        <f>I40*J40</f>
        <v/>
      </c>
      <c r="N40" s="25">
        <f>L40-M40</f>
        <v/>
      </c>
      <c r="O40" s="26">
        <f>IFERROR(N40/L40,0)</f>
        <v/>
      </c>
      <c r="P40">
        <f>YEAR(A40)</f>
        <v/>
      </c>
      <c r="Q40">
        <f>TEXT(A40,"mmm")</f>
        <v/>
      </c>
      <c r="R40">
        <f>IF(B40&lt;25,"18-24",IF(B40&lt;35,"25-34",IF(B40&lt;45,"35-44","45+")))</f>
        <v/>
      </c>
    </row>
    <row r="41">
      <c r="A41" s="23" t="n">
        <v>44558</v>
      </c>
      <c r="B41" s="3" t="n">
        <v>19</v>
      </c>
      <c r="C41" s="3" t="inlineStr">
        <is>
          <t>M</t>
        </is>
      </c>
      <c r="D41" s="3" t="inlineStr">
        <is>
          <t>Australia</t>
        </is>
      </c>
      <c r="E41" s="3" t="inlineStr">
        <is>
          <t>Victoria</t>
        </is>
      </c>
      <c r="F41" s="3" t="inlineStr">
        <is>
          <t>Mountain Bikes</t>
        </is>
      </c>
      <c r="G41" s="3" t="inlineStr">
        <is>
          <t>Silver</t>
        </is>
      </c>
      <c r="H41" s="3" t="inlineStr">
        <is>
          <t>Mountain-500 Silver, 52</t>
        </is>
      </c>
      <c r="I41" s="4" t="n">
        <v>3</v>
      </c>
      <c r="J41" s="24" t="n">
        <v>480</v>
      </c>
      <c r="K41" s="24" t="n">
        <v>760</v>
      </c>
      <c r="L41" s="25">
        <f>I41*K41</f>
        <v/>
      </c>
      <c r="M41" s="25">
        <f>I41*J41</f>
        <v/>
      </c>
      <c r="N41" s="25">
        <f>L41-M41</f>
        <v/>
      </c>
      <c r="O41" s="26">
        <f>IFERROR(N41/L41,0)</f>
        <v/>
      </c>
      <c r="P41">
        <f>YEAR(A41)</f>
        <v/>
      </c>
      <c r="Q41">
        <f>TEXT(A41,"mmm")</f>
        <v/>
      </c>
      <c r="R41">
        <f>IF(B41&lt;25,"18-24",IF(B41&lt;35,"25-34",IF(B41&lt;45,"35-44","45+")))</f>
        <v/>
      </c>
    </row>
    <row r="42">
      <c r="A42" s="23" t="n">
        <v>44501</v>
      </c>
      <c r="B42" s="3" t="n">
        <v>20</v>
      </c>
      <c r="C42" s="3" t="inlineStr">
        <is>
          <t>M</t>
        </is>
      </c>
      <c r="D42" s="3" t="inlineStr">
        <is>
          <t>Australia</t>
        </is>
      </c>
      <c r="E42" s="3" t="inlineStr">
        <is>
          <t>Victoria</t>
        </is>
      </c>
      <c r="F42" s="3" t="inlineStr">
        <is>
          <t>Road Bikes</t>
        </is>
      </c>
      <c r="G42" s="3" t="inlineStr">
        <is>
          <t>Black</t>
        </is>
      </c>
      <c r="H42" s="3" t="inlineStr">
        <is>
          <t>Road-750 Black, 44</t>
        </is>
      </c>
      <c r="I42" s="4" t="n">
        <v>1</v>
      </c>
      <c r="J42" s="24" t="n">
        <v>700</v>
      </c>
      <c r="K42" s="24" t="n">
        <v>1100</v>
      </c>
      <c r="L42" s="25">
        <f>I42*K42</f>
        <v/>
      </c>
      <c r="M42" s="25">
        <f>I42*J42</f>
        <v/>
      </c>
      <c r="N42" s="25">
        <f>L42-M42</f>
        <v/>
      </c>
      <c r="O42" s="26">
        <f>IFERROR(N42/L42,0)</f>
        <v/>
      </c>
      <c r="P42">
        <f>YEAR(A42)</f>
        <v/>
      </c>
      <c r="Q42">
        <f>TEXT(A42,"mmm")</f>
        <v/>
      </c>
      <c r="R42">
        <f>IF(B42&lt;25,"18-24",IF(B42&lt;35,"25-34",IF(B42&lt;45,"35-44","45+")))</f>
        <v/>
      </c>
    </row>
    <row r="43">
      <c r="A43" s="23" t="n">
        <v>44510</v>
      </c>
      <c r="B43" s="3" t="n">
        <v>20</v>
      </c>
      <c r="C43" s="3" t="inlineStr">
        <is>
          <t>M</t>
        </is>
      </c>
      <c r="D43" s="3" t="inlineStr">
        <is>
          <t>Australia</t>
        </is>
      </c>
      <c r="E43" s="3" t="inlineStr">
        <is>
          <t>Victoria</t>
        </is>
      </c>
      <c r="F43" s="3" t="inlineStr">
        <is>
          <t>Road Bikes</t>
        </is>
      </c>
      <c r="G43" s="3" t="inlineStr">
        <is>
          <t>Black</t>
        </is>
      </c>
      <c r="H43" s="3" t="inlineStr">
        <is>
          <t>Road-750 Black, 44</t>
        </is>
      </c>
      <c r="I43" s="4" t="n">
        <v>1</v>
      </c>
      <c r="J43" s="24" t="n">
        <v>700</v>
      </c>
      <c r="K43" s="24" t="n">
        <v>1100</v>
      </c>
      <c r="L43" s="25">
        <f>I43*K43</f>
        <v/>
      </c>
      <c r="M43" s="25">
        <f>I43*J43</f>
        <v/>
      </c>
      <c r="N43" s="25">
        <f>L43-M43</f>
        <v/>
      </c>
      <c r="O43" s="26">
        <f>IFERROR(N43/L43,0)</f>
        <v/>
      </c>
      <c r="P43">
        <f>YEAR(A43)</f>
        <v/>
      </c>
      <c r="Q43">
        <f>TEXT(A43,"mmm")</f>
        <v/>
      </c>
      <c r="R43">
        <f>IF(B43&lt;25,"18-24",IF(B43&lt;35,"25-34",IF(B43&lt;45,"35-44","45+")))</f>
        <v/>
      </c>
    </row>
    <row r="44">
      <c r="A44" s="23" t="n">
        <v>44516</v>
      </c>
      <c r="B44" s="3" t="n">
        <v>20</v>
      </c>
      <c r="C44" s="3" t="inlineStr">
        <is>
          <t>F</t>
        </is>
      </c>
      <c r="D44" s="3" t="inlineStr">
        <is>
          <t>Germany</t>
        </is>
      </c>
      <c r="E44" s="3" t="inlineStr">
        <is>
          <t>Saarland</t>
        </is>
      </c>
      <c r="F44" s="3" t="inlineStr">
        <is>
          <t>Road Bikes</t>
        </is>
      </c>
      <c r="G44" s="3" t="inlineStr">
        <is>
          <t>Yellow</t>
        </is>
      </c>
      <c r="H44" s="3" t="inlineStr">
        <is>
          <t>Road-350-W Yellow, 48</t>
        </is>
      </c>
      <c r="I44" s="4" t="n">
        <v>2</v>
      </c>
      <c r="J44" s="24" t="n">
        <v>530</v>
      </c>
      <c r="K44" s="24" t="n">
        <v>840</v>
      </c>
      <c r="L44" s="25">
        <f>I44*K44</f>
        <v/>
      </c>
      <c r="M44" s="25">
        <f>I44*J44</f>
        <v/>
      </c>
      <c r="N44" s="25">
        <f>L44-M44</f>
        <v/>
      </c>
      <c r="O44" s="26">
        <f>IFERROR(N44/L44,0)</f>
        <v/>
      </c>
      <c r="P44">
        <f>YEAR(A44)</f>
        <v/>
      </c>
      <c r="Q44">
        <f>TEXT(A44,"mmm")</f>
        <v/>
      </c>
      <c r="R44">
        <f>IF(B44&lt;25,"18-24",IF(B44&lt;35,"25-34",IF(B44&lt;45,"35-44","45+")))</f>
        <v/>
      </c>
    </row>
    <row r="45">
      <c r="A45" s="23" t="n">
        <v>44516</v>
      </c>
      <c r="B45" s="3" t="n">
        <v>20</v>
      </c>
      <c r="C45" s="3" t="inlineStr">
        <is>
          <t>M</t>
        </is>
      </c>
      <c r="D45" s="3" t="inlineStr">
        <is>
          <t>Australia</t>
        </is>
      </c>
      <c r="E45" s="3" t="inlineStr">
        <is>
          <t>Queensland</t>
        </is>
      </c>
      <c r="F45" s="3" t="inlineStr">
        <is>
          <t>Road Bikes</t>
        </is>
      </c>
      <c r="G45" s="3" t="inlineStr">
        <is>
          <t>Black</t>
        </is>
      </c>
      <c r="H45" s="3" t="inlineStr">
        <is>
          <t>Road-750 Black, 44</t>
        </is>
      </c>
      <c r="I45" s="4" t="n">
        <v>1</v>
      </c>
      <c r="J45" s="24" t="n">
        <v>700</v>
      </c>
      <c r="K45" s="24" t="n">
        <v>1100</v>
      </c>
      <c r="L45" s="25">
        <f>I45*K45</f>
        <v/>
      </c>
      <c r="M45" s="25">
        <f>I45*J45</f>
        <v/>
      </c>
      <c r="N45" s="25">
        <f>L45-M45</f>
        <v/>
      </c>
      <c r="O45" s="26">
        <f>IFERROR(N45/L45,0)</f>
        <v/>
      </c>
      <c r="P45">
        <f>YEAR(A45)</f>
        <v/>
      </c>
      <c r="Q45">
        <f>TEXT(A45,"mmm")</f>
        <v/>
      </c>
      <c r="R45">
        <f>IF(B45&lt;25,"18-24",IF(B45&lt;35,"25-34",IF(B45&lt;45,"35-44","45+")))</f>
        <v/>
      </c>
    </row>
    <row r="46">
      <c r="A46" s="23" t="n">
        <v>44528</v>
      </c>
      <c r="B46" s="3" t="n">
        <v>20</v>
      </c>
      <c r="C46" s="3" t="inlineStr">
        <is>
          <t>M</t>
        </is>
      </c>
      <c r="D46" s="3" t="inlineStr">
        <is>
          <t>Australia</t>
        </is>
      </c>
      <c r="E46" s="3" t="inlineStr">
        <is>
          <t>New South Wales</t>
        </is>
      </c>
      <c r="F46" s="3" t="inlineStr">
        <is>
          <t>Road Bikes</t>
        </is>
      </c>
      <c r="G46" s="3" t="inlineStr">
        <is>
          <t>Black</t>
        </is>
      </c>
      <c r="H46" s="3" t="inlineStr">
        <is>
          <t>Road-750 Black, 52</t>
        </is>
      </c>
      <c r="I46" s="4" t="n">
        <v>3</v>
      </c>
      <c r="J46" s="24" t="n">
        <v>700</v>
      </c>
      <c r="K46" s="24" t="n">
        <v>1100</v>
      </c>
      <c r="L46" s="25">
        <f>I46*K46</f>
        <v/>
      </c>
      <c r="M46" s="25">
        <f>I46*J46</f>
        <v/>
      </c>
      <c r="N46" s="25">
        <f>L46-M46</f>
        <v/>
      </c>
      <c r="O46" s="26">
        <f>IFERROR(N46/L46,0)</f>
        <v/>
      </c>
      <c r="P46">
        <f>YEAR(A46)</f>
        <v/>
      </c>
      <c r="Q46">
        <f>TEXT(A46,"mmm")</f>
        <v/>
      </c>
      <c r="R46">
        <f>IF(B46&lt;25,"18-24",IF(B46&lt;35,"25-34",IF(B46&lt;45,"35-44","45+")))</f>
        <v/>
      </c>
    </row>
    <row r="47">
      <c r="A47" s="23" t="n">
        <v>44531</v>
      </c>
      <c r="B47" s="3" t="n">
        <v>20</v>
      </c>
      <c r="C47" s="3" t="inlineStr">
        <is>
          <t>M</t>
        </is>
      </c>
      <c r="D47" s="3" t="inlineStr">
        <is>
          <t>Germany</t>
        </is>
      </c>
      <c r="E47" s="3" t="inlineStr">
        <is>
          <t>Hamburg</t>
        </is>
      </c>
      <c r="F47" s="3" t="inlineStr">
        <is>
          <t>Road Bikes</t>
        </is>
      </c>
      <c r="G47" s="3" t="inlineStr">
        <is>
          <t>Red</t>
        </is>
      </c>
      <c r="H47" s="3" t="inlineStr">
        <is>
          <t>Road-250 Red, 58</t>
        </is>
      </c>
      <c r="I47" s="4" t="n">
        <v>1</v>
      </c>
      <c r="J47" s="24" t="n">
        <v>580</v>
      </c>
      <c r="K47" s="24" t="n">
        <v>920</v>
      </c>
      <c r="L47" s="25">
        <f>I47*K47</f>
        <v/>
      </c>
      <c r="M47" s="25">
        <f>I47*J47</f>
        <v/>
      </c>
      <c r="N47" s="25">
        <f>L47-M47</f>
        <v/>
      </c>
      <c r="O47" s="26">
        <f>IFERROR(N47/L47,0)</f>
        <v/>
      </c>
      <c r="P47">
        <f>YEAR(A47)</f>
        <v/>
      </c>
      <c r="Q47">
        <f>TEXT(A47,"mmm")</f>
        <v/>
      </c>
      <c r="R47">
        <f>IF(B47&lt;25,"18-24",IF(B47&lt;35,"25-34",IF(B47&lt;45,"35-44","45+")))</f>
        <v/>
      </c>
    </row>
    <row r="48">
      <c r="A48" s="23" t="n">
        <v>44473</v>
      </c>
      <c r="B48" s="3" t="n">
        <v>21</v>
      </c>
      <c r="C48" s="3" t="inlineStr">
        <is>
          <t>F</t>
        </is>
      </c>
      <c r="D48" s="3" t="inlineStr">
        <is>
          <t>United States</t>
        </is>
      </c>
      <c r="E48" s="3" t="inlineStr">
        <is>
          <t>California</t>
        </is>
      </c>
      <c r="F48" s="3" t="inlineStr">
        <is>
          <t>Road Bikes</t>
        </is>
      </c>
      <c r="G48" s="3" t="inlineStr">
        <is>
          <t>Yellow</t>
        </is>
      </c>
      <c r="H48" s="3" t="inlineStr">
        <is>
          <t>Road-550-W Yellow, 40</t>
        </is>
      </c>
      <c r="I48" s="4" t="n">
        <v>4</v>
      </c>
      <c r="J48" s="24" t="n">
        <v>500</v>
      </c>
      <c r="K48" s="24" t="n">
        <v>800</v>
      </c>
      <c r="L48" s="25">
        <f>I48*K48</f>
        <v/>
      </c>
      <c r="M48" s="25">
        <f>I48*J48</f>
        <v/>
      </c>
      <c r="N48" s="25">
        <f>L48-M48</f>
        <v/>
      </c>
      <c r="O48" s="26">
        <f>IFERROR(N48/L48,0)</f>
        <v/>
      </c>
      <c r="P48">
        <f>YEAR(A48)</f>
        <v/>
      </c>
      <c r="Q48">
        <f>TEXT(A48,"mmm")</f>
        <v/>
      </c>
      <c r="R48">
        <f>IF(B48&lt;25,"18-24",IF(B48&lt;35,"25-34",IF(B48&lt;45,"35-44","45+")))</f>
        <v/>
      </c>
    </row>
    <row r="49">
      <c r="A49" s="23" t="n">
        <v>44477</v>
      </c>
      <c r="B49" s="3" t="n">
        <v>21</v>
      </c>
      <c r="C49" s="3" t="inlineStr">
        <is>
          <t>M</t>
        </is>
      </c>
      <c r="D49" s="3" t="inlineStr">
        <is>
          <t>United States</t>
        </is>
      </c>
      <c r="E49" s="3" t="inlineStr">
        <is>
          <t>California</t>
        </is>
      </c>
      <c r="F49" s="3" t="inlineStr">
        <is>
          <t>Road Bikes</t>
        </is>
      </c>
      <c r="G49" s="3" t="inlineStr">
        <is>
          <t>Black</t>
        </is>
      </c>
      <c r="H49" s="3" t="inlineStr">
        <is>
          <t>Road-250 Black, 48</t>
        </is>
      </c>
      <c r="I49" s="4" t="n">
        <v>1</v>
      </c>
      <c r="J49" s="24" t="n">
        <v>580</v>
      </c>
      <c r="K49" s="24" t="n">
        <v>920</v>
      </c>
      <c r="L49" s="25">
        <f>I49*K49</f>
        <v/>
      </c>
      <c r="M49" s="25">
        <f>I49*J49</f>
        <v/>
      </c>
      <c r="N49" s="25">
        <f>L49-M49</f>
        <v/>
      </c>
      <c r="O49" s="26">
        <f>IFERROR(N49/L49,0)</f>
        <v/>
      </c>
      <c r="P49">
        <f>YEAR(A49)</f>
        <v/>
      </c>
      <c r="Q49">
        <f>TEXT(A49,"mmm")</f>
        <v/>
      </c>
      <c r="R49">
        <f>IF(B49&lt;25,"18-24",IF(B49&lt;35,"25-34",IF(B49&lt;45,"35-44","45+")))</f>
        <v/>
      </c>
    </row>
    <row r="50">
      <c r="A50" s="23" t="n">
        <v>44497</v>
      </c>
      <c r="B50" s="3" t="n">
        <v>21</v>
      </c>
      <c r="C50" s="3" t="inlineStr">
        <is>
          <t>F</t>
        </is>
      </c>
      <c r="D50" s="3" t="inlineStr">
        <is>
          <t>United States</t>
        </is>
      </c>
      <c r="E50" s="3" t="inlineStr">
        <is>
          <t>California</t>
        </is>
      </c>
      <c r="F50" s="3" t="inlineStr">
        <is>
          <t>Road Bikes</t>
        </is>
      </c>
      <c r="G50" s="3" t="inlineStr">
        <is>
          <t>Yellow</t>
        </is>
      </c>
      <c r="H50" s="3" t="inlineStr">
        <is>
          <t>Road-550-W Yellow, 40</t>
        </is>
      </c>
      <c r="I50" s="4" t="n">
        <v>1</v>
      </c>
      <c r="J50" s="24" t="n">
        <v>500</v>
      </c>
      <c r="K50" s="24" t="n">
        <v>800</v>
      </c>
      <c r="L50" s="25">
        <f>I50*K50</f>
        <v/>
      </c>
      <c r="M50" s="25">
        <f>I50*J50</f>
        <v/>
      </c>
      <c r="N50" s="25">
        <f>L50-M50</f>
        <v/>
      </c>
      <c r="O50" s="26">
        <f>IFERROR(N50/L50,0)</f>
        <v/>
      </c>
      <c r="P50">
        <f>YEAR(A50)</f>
        <v/>
      </c>
      <c r="Q50">
        <f>TEXT(A50,"mmm")</f>
        <v/>
      </c>
      <c r="R50">
        <f>IF(B50&lt;25,"18-24",IF(B50&lt;35,"25-34",IF(B50&lt;45,"35-44","45+")))</f>
        <v/>
      </c>
    </row>
    <row r="51">
      <c r="A51" s="23" t="n">
        <v>44500</v>
      </c>
      <c r="B51" s="3" t="n">
        <v>21</v>
      </c>
      <c r="C51" s="3" t="inlineStr">
        <is>
          <t>F</t>
        </is>
      </c>
      <c r="D51" s="3" t="inlineStr">
        <is>
          <t>United States</t>
        </is>
      </c>
      <c r="E51" s="3" t="inlineStr">
        <is>
          <t>California</t>
        </is>
      </c>
      <c r="F51" s="3" t="inlineStr">
        <is>
          <t>Road Bikes</t>
        </is>
      </c>
      <c r="G51" s="3" t="inlineStr">
        <is>
          <t>Yellow</t>
        </is>
      </c>
      <c r="H51" s="3" t="inlineStr">
        <is>
          <t>Road-550-W Yellow, 40</t>
        </is>
      </c>
      <c r="I51" s="4" t="n">
        <v>2</v>
      </c>
      <c r="J51" s="24" t="n">
        <v>500</v>
      </c>
      <c r="K51" s="24" t="n">
        <v>800</v>
      </c>
      <c r="L51" s="25">
        <f>I51*K51</f>
        <v/>
      </c>
      <c r="M51" s="25">
        <f>I51*J51</f>
        <v/>
      </c>
      <c r="N51" s="25">
        <f>L51-M51</f>
        <v/>
      </c>
      <c r="O51" s="26">
        <f>IFERROR(N51/L51,0)</f>
        <v/>
      </c>
      <c r="P51">
        <f>YEAR(A51)</f>
        <v/>
      </c>
      <c r="Q51">
        <f>TEXT(A51,"mmm")</f>
        <v/>
      </c>
      <c r="R51">
        <f>IF(B51&lt;25,"18-24",IF(B51&lt;35,"25-34",IF(B51&lt;45,"35-44","45+")))</f>
        <v/>
      </c>
    </row>
    <row r="52">
      <c r="A52" s="23" t="n">
        <v>44510</v>
      </c>
      <c r="B52" s="3" t="n">
        <v>21</v>
      </c>
      <c r="C52" s="3" t="inlineStr">
        <is>
          <t>M</t>
        </is>
      </c>
      <c r="D52" s="3" t="inlineStr">
        <is>
          <t>Australia</t>
        </is>
      </c>
      <c r="E52" s="3" t="inlineStr">
        <is>
          <t>New South Wales</t>
        </is>
      </c>
      <c r="F52" s="3" t="inlineStr">
        <is>
          <t>Road Bikes</t>
        </is>
      </c>
      <c r="G52" s="3" t="inlineStr">
        <is>
          <t>Black</t>
        </is>
      </c>
      <c r="H52" s="3" t="inlineStr">
        <is>
          <t>Road-250 Black, 58</t>
        </is>
      </c>
      <c r="I52" s="4" t="n">
        <v>1</v>
      </c>
      <c r="J52" s="24" t="n">
        <v>580</v>
      </c>
      <c r="K52" s="24" t="n">
        <v>920</v>
      </c>
      <c r="L52" s="25">
        <f>I52*K52</f>
        <v/>
      </c>
      <c r="M52" s="25">
        <f>I52*J52</f>
        <v/>
      </c>
      <c r="N52" s="25">
        <f>L52-M52</f>
        <v/>
      </c>
      <c r="O52" s="26">
        <f>IFERROR(N52/L52,0)</f>
        <v/>
      </c>
      <c r="P52">
        <f>YEAR(A52)</f>
        <v/>
      </c>
      <c r="Q52">
        <f>TEXT(A52,"mmm")</f>
        <v/>
      </c>
      <c r="R52">
        <f>IF(B52&lt;25,"18-24",IF(B52&lt;35,"25-34",IF(B52&lt;45,"35-44","45+")))</f>
        <v/>
      </c>
    </row>
    <row r="53">
      <c r="A53" s="23" t="n">
        <v>44517</v>
      </c>
      <c r="B53" s="3" t="n">
        <v>21</v>
      </c>
      <c r="C53" s="3" t="inlineStr">
        <is>
          <t>F</t>
        </is>
      </c>
      <c r="D53" s="3" t="inlineStr">
        <is>
          <t>Australia</t>
        </is>
      </c>
      <c r="E53" s="3" t="inlineStr">
        <is>
          <t>New South Wales</t>
        </is>
      </c>
      <c r="F53" s="3" t="inlineStr">
        <is>
          <t>Road Bikes</t>
        </is>
      </c>
      <c r="G53" s="3" t="inlineStr">
        <is>
          <t>Black</t>
        </is>
      </c>
      <c r="H53" s="3" t="inlineStr">
        <is>
          <t>Road-250 Black, 58</t>
        </is>
      </c>
      <c r="I53" s="4" t="n">
        <v>1</v>
      </c>
      <c r="J53" s="24" t="n">
        <v>580</v>
      </c>
      <c r="K53" s="24" t="n">
        <v>920</v>
      </c>
      <c r="L53" s="25">
        <f>I53*K53</f>
        <v/>
      </c>
      <c r="M53" s="25">
        <f>I53*J53</f>
        <v/>
      </c>
      <c r="N53" s="25">
        <f>L53-M53</f>
        <v/>
      </c>
      <c r="O53" s="26">
        <f>IFERROR(N53/L53,0)</f>
        <v/>
      </c>
      <c r="P53">
        <f>YEAR(A53)</f>
        <v/>
      </c>
      <c r="Q53">
        <f>TEXT(A53,"mmm")</f>
        <v/>
      </c>
      <c r="R53">
        <f>IF(B53&lt;25,"18-24",IF(B53&lt;35,"25-34",IF(B53&lt;45,"35-44","45+")))</f>
        <v/>
      </c>
    </row>
    <row r="54">
      <c r="A54" s="23" t="n">
        <v>44529</v>
      </c>
      <c r="B54" s="3" t="n">
        <v>21</v>
      </c>
      <c r="C54" s="3" t="inlineStr">
        <is>
          <t>M</t>
        </is>
      </c>
      <c r="D54" s="3" t="inlineStr">
        <is>
          <t>Australia</t>
        </is>
      </c>
      <c r="E54" s="3" t="inlineStr">
        <is>
          <t>South Australia</t>
        </is>
      </c>
      <c r="F54" s="3" t="inlineStr">
        <is>
          <t>Road Bikes</t>
        </is>
      </c>
      <c r="G54" s="3" t="inlineStr">
        <is>
          <t>Black</t>
        </is>
      </c>
      <c r="H54" s="3" t="inlineStr">
        <is>
          <t>Road-250 Black, 52</t>
        </is>
      </c>
      <c r="I54" s="4" t="n">
        <v>4</v>
      </c>
      <c r="J54" s="24" t="n">
        <v>580</v>
      </c>
      <c r="K54" s="24" t="n">
        <v>920</v>
      </c>
      <c r="L54" s="25">
        <f>I54*K54</f>
        <v/>
      </c>
      <c r="M54" s="25">
        <f>I54*J54</f>
        <v/>
      </c>
      <c r="N54" s="25">
        <f>L54-M54</f>
        <v/>
      </c>
      <c r="O54" s="26">
        <f>IFERROR(N54/L54,0)</f>
        <v/>
      </c>
      <c r="P54">
        <f>YEAR(A54)</f>
        <v/>
      </c>
      <c r="Q54">
        <f>TEXT(A54,"mmm")</f>
        <v/>
      </c>
      <c r="R54">
        <f>IF(B54&lt;25,"18-24",IF(B54&lt;35,"25-34",IF(B54&lt;45,"35-44","45+")))</f>
        <v/>
      </c>
    </row>
    <row r="55">
      <c r="A55" s="23" t="n">
        <v>44511</v>
      </c>
      <c r="B55" s="3" t="n">
        <v>22</v>
      </c>
      <c r="C55" s="3" t="inlineStr">
        <is>
          <t>M</t>
        </is>
      </c>
      <c r="D55" s="3" t="inlineStr">
        <is>
          <t>Australia</t>
        </is>
      </c>
      <c r="E55" s="3" t="inlineStr">
        <is>
          <t>New South Wales</t>
        </is>
      </c>
      <c r="F55" s="3" t="inlineStr">
        <is>
          <t>Road Bikes</t>
        </is>
      </c>
      <c r="G55" s="3" t="inlineStr">
        <is>
          <t>Red</t>
        </is>
      </c>
      <c r="H55" s="3" t="inlineStr">
        <is>
          <t>Road-150 Red, 48</t>
        </is>
      </c>
      <c r="I55" s="4" t="n">
        <v>3</v>
      </c>
      <c r="J55" s="24" t="n">
        <v>900</v>
      </c>
      <c r="K55" s="24" t="n">
        <v>1400</v>
      </c>
      <c r="L55" s="25">
        <f>I55*K55</f>
        <v/>
      </c>
      <c r="M55" s="25">
        <f>I55*J55</f>
        <v/>
      </c>
      <c r="N55" s="25">
        <f>L55-M55</f>
        <v/>
      </c>
      <c r="O55" s="26">
        <f>IFERROR(N55/L55,0)</f>
        <v/>
      </c>
      <c r="P55">
        <f>YEAR(A55)</f>
        <v/>
      </c>
      <c r="Q55">
        <f>TEXT(A55,"mmm")</f>
        <v/>
      </c>
      <c r="R55">
        <f>IF(B55&lt;25,"18-24",IF(B55&lt;35,"25-34",IF(B55&lt;45,"35-44","45+")))</f>
        <v/>
      </c>
    </row>
    <row r="56">
      <c r="A56" s="23" t="n">
        <v>44511</v>
      </c>
      <c r="B56" s="3" t="n">
        <v>22</v>
      </c>
      <c r="C56" s="3" t="inlineStr">
        <is>
          <t>F</t>
        </is>
      </c>
      <c r="D56" s="3" t="inlineStr">
        <is>
          <t>United States</t>
        </is>
      </c>
      <c r="E56" s="3" t="inlineStr">
        <is>
          <t>California</t>
        </is>
      </c>
      <c r="F56" s="3" t="inlineStr">
        <is>
          <t>Mountain Bikes</t>
        </is>
      </c>
      <c r="G56" s="3" t="inlineStr">
        <is>
          <t>Silver</t>
        </is>
      </c>
      <c r="H56" s="3" t="inlineStr">
        <is>
          <t>Mountain-200 Silver, 46</t>
        </is>
      </c>
      <c r="I56" s="4" t="n">
        <v>2</v>
      </c>
      <c r="J56" s="24" t="n">
        <v>550</v>
      </c>
      <c r="K56" s="24" t="n">
        <v>850</v>
      </c>
      <c r="L56" s="25">
        <f>I56*K56</f>
        <v/>
      </c>
      <c r="M56" s="25">
        <f>I56*J56</f>
        <v/>
      </c>
      <c r="N56" s="25">
        <f>L56-M56</f>
        <v/>
      </c>
      <c r="O56" s="26">
        <f>IFERROR(N56/L56,0)</f>
        <v/>
      </c>
      <c r="P56">
        <f>YEAR(A56)</f>
        <v/>
      </c>
      <c r="Q56">
        <f>TEXT(A56,"mmm")</f>
        <v/>
      </c>
      <c r="R56">
        <f>IF(B56&lt;25,"18-24",IF(B56&lt;35,"25-34",IF(B56&lt;45,"35-44","45+")))</f>
        <v/>
      </c>
    </row>
    <row r="57">
      <c r="A57" s="23" t="n">
        <v>44511</v>
      </c>
      <c r="B57" s="3" t="n">
        <v>22</v>
      </c>
      <c r="C57" s="3" t="inlineStr">
        <is>
          <t>F</t>
        </is>
      </c>
      <c r="D57" s="3" t="inlineStr">
        <is>
          <t>Germany</t>
        </is>
      </c>
      <c r="E57" s="3" t="inlineStr">
        <is>
          <t>Saarland</t>
        </is>
      </c>
      <c r="F57" s="3" t="inlineStr">
        <is>
          <t>Mountain Bikes</t>
        </is>
      </c>
      <c r="G57" s="3" t="inlineStr">
        <is>
          <t>Black</t>
        </is>
      </c>
      <c r="H57" s="3" t="inlineStr">
        <is>
          <t>Mountain-200 Black, 38</t>
        </is>
      </c>
      <c r="I57" s="4" t="n">
        <v>1</v>
      </c>
      <c r="J57" s="24" t="n">
        <v>550</v>
      </c>
      <c r="K57" s="24" t="n">
        <v>850</v>
      </c>
      <c r="L57" s="25">
        <f>I57*K57</f>
        <v/>
      </c>
      <c r="M57" s="25">
        <f>I57*J57</f>
        <v/>
      </c>
      <c r="N57" s="25">
        <f>L57-M57</f>
        <v/>
      </c>
      <c r="O57" s="26">
        <f>IFERROR(N57/L57,0)</f>
        <v/>
      </c>
      <c r="P57">
        <f>YEAR(A57)</f>
        <v/>
      </c>
      <c r="Q57">
        <f>TEXT(A57,"mmm")</f>
        <v/>
      </c>
      <c r="R57">
        <f>IF(B57&lt;25,"18-24",IF(B57&lt;35,"25-34",IF(B57&lt;45,"35-44","45+")))</f>
        <v/>
      </c>
    </row>
    <row r="58">
      <c r="A58" s="23" t="n">
        <v>44512</v>
      </c>
      <c r="B58" s="3" t="n">
        <v>22</v>
      </c>
      <c r="C58" s="3" t="inlineStr">
        <is>
          <t>M</t>
        </is>
      </c>
      <c r="D58" s="3" t="inlineStr">
        <is>
          <t>France</t>
        </is>
      </c>
      <c r="E58" s="3" t="inlineStr">
        <is>
          <t>Nord</t>
        </is>
      </c>
      <c r="F58" s="3" t="inlineStr">
        <is>
          <t>Road Bikes</t>
        </is>
      </c>
      <c r="G58" s="3" t="inlineStr">
        <is>
          <t>Yellow</t>
        </is>
      </c>
      <c r="H58" s="3" t="inlineStr">
        <is>
          <t>Road-350-W Yellow, 48</t>
        </is>
      </c>
      <c r="I58" s="4" t="n">
        <v>2</v>
      </c>
      <c r="J58" s="24" t="n">
        <v>530</v>
      </c>
      <c r="K58" s="24" t="n">
        <v>840</v>
      </c>
      <c r="L58" s="25">
        <f>I58*K58</f>
        <v/>
      </c>
      <c r="M58" s="25">
        <f>I58*J58</f>
        <v/>
      </c>
      <c r="N58" s="25">
        <f>L58-M58</f>
        <v/>
      </c>
      <c r="O58" s="26">
        <f>IFERROR(N58/L58,0)</f>
        <v/>
      </c>
      <c r="P58">
        <f>YEAR(A58)</f>
        <v/>
      </c>
      <c r="Q58">
        <f>TEXT(A58,"mmm")</f>
        <v/>
      </c>
      <c r="R58">
        <f>IF(B58&lt;25,"18-24",IF(B58&lt;35,"25-34",IF(B58&lt;45,"35-44","45+")))</f>
        <v/>
      </c>
    </row>
    <row r="59">
      <c r="A59" s="23" t="n">
        <v>44514</v>
      </c>
      <c r="B59" s="3" t="n">
        <v>22</v>
      </c>
      <c r="C59" s="3" t="inlineStr">
        <is>
          <t>F</t>
        </is>
      </c>
      <c r="D59" s="3" t="inlineStr">
        <is>
          <t>Germany</t>
        </is>
      </c>
      <c r="E59" s="3" t="inlineStr">
        <is>
          <t>Nordrhein-Westfalen</t>
        </is>
      </c>
      <c r="F59" s="3" t="inlineStr">
        <is>
          <t>Mountain Bikes</t>
        </is>
      </c>
      <c r="G59" s="3" t="inlineStr">
        <is>
          <t>Black</t>
        </is>
      </c>
      <c r="H59" s="3" t="inlineStr">
        <is>
          <t>Mountain-200 Black, 38</t>
        </is>
      </c>
      <c r="I59" s="4" t="n">
        <v>2</v>
      </c>
      <c r="J59" s="24" t="n">
        <v>550</v>
      </c>
      <c r="K59" s="24" t="n">
        <v>850</v>
      </c>
      <c r="L59" s="25">
        <f>I59*K59</f>
        <v/>
      </c>
      <c r="M59" s="25">
        <f>I59*J59</f>
        <v/>
      </c>
      <c r="N59" s="25">
        <f>L59-M59</f>
        <v/>
      </c>
      <c r="O59" s="26">
        <f>IFERROR(N59/L59,0)</f>
        <v/>
      </c>
      <c r="P59">
        <f>YEAR(A59)</f>
        <v/>
      </c>
      <c r="Q59">
        <f>TEXT(A59,"mmm")</f>
        <v/>
      </c>
      <c r="R59">
        <f>IF(B59&lt;25,"18-24",IF(B59&lt;35,"25-34",IF(B59&lt;45,"35-44","45+")))</f>
        <v/>
      </c>
    </row>
    <row r="60">
      <c r="A60" s="23" t="n">
        <v>44518</v>
      </c>
      <c r="B60" s="3" t="n">
        <v>22</v>
      </c>
      <c r="C60" s="3" t="inlineStr">
        <is>
          <t>M</t>
        </is>
      </c>
      <c r="D60" s="3" t="inlineStr">
        <is>
          <t>Australia</t>
        </is>
      </c>
      <c r="E60" s="3" t="inlineStr">
        <is>
          <t>Victoria</t>
        </is>
      </c>
      <c r="F60" s="3" t="inlineStr">
        <is>
          <t>Road Bikes</t>
        </is>
      </c>
      <c r="G60" s="3" t="inlineStr">
        <is>
          <t>Black</t>
        </is>
      </c>
      <c r="H60" s="3" t="inlineStr">
        <is>
          <t>Road-650 Black, 44</t>
        </is>
      </c>
      <c r="I60" s="4" t="n">
        <v>1</v>
      </c>
      <c r="J60" s="24" t="n">
        <v>620</v>
      </c>
      <c r="K60" s="24" t="n">
        <v>980</v>
      </c>
      <c r="L60" s="25">
        <f>I60*K60</f>
        <v/>
      </c>
      <c r="M60" s="25">
        <f>I60*J60</f>
        <v/>
      </c>
      <c r="N60" s="25">
        <f>L60-M60</f>
        <v/>
      </c>
      <c r="O60" s="26">
        <f>IFERROR(N60/L60,0)</f>
        <v/>
      </c>
      <c r="P60">
        <f>YEAR(A60)</f>
        <v/>
      </c>
      <c r="Q60">
        <f>TEXT(A60,"mmm")</f>
        <v/>
      </c>
      <c r="R60">
        <f>IF(B60&lt;25,"18-24",IF(B60&lt;35,"25-34",IF(B60&lt;45,"35-44","45+")))</f>
        <v/>
      </c>
    </row>
    <row r="61">
      <c r="A61" s="23" t="n">
        <v>44524</v>
      </c>
      <c r="B61" s="3" t="n">
        <v>22</v>
      </c>
      <c r="C61" s="3" t="inlineStr">
        <is>
          <t>M</t>
        </is>
      </c>
      <c r="D61" s="3" t="inlineStr">
        <is>
          <t>Australia</t>
        </is>
      </c>
      <c r="E61" s="3" t="inlineStr">
        <is>
          <t>Victoria</t>
        </is>
      </c>
      <c r="F61" s="3" t="inlineStr">
        <is>
          <t>Road Bikes</t>
        </is>
      </c>
      <c r="G61" s="3" t="inlineStr">
        <is>
          <t>Black</t>
        </is>
      </c>
      <c r="H61" s="3" t="inlineStr">
        <is>
          <t>Road-650 Black, 44</t>
        </is>
      </c>
      <c r="I61" s="4" t="n">
        <v>3</v>
      </c>
      <c r="J61" s="24" t="n">
        <v>620</v>
      </c>
      <c r="K61" s="24" t="n">
        <v>980</v>
      </c>
      <c r="L61" s="25">
        <f>I61*K61</f>
        <v/>
      </c>
      <c r="M61" s="25">
        <f>I61*J61</f>
        <v/>
      </c>
      <c r="N61" s="25">
        <f>L61-M61</f>
        <v/>
      </c>
      <c r="O61" s="26">
        <f>IFERROR(N61/L61,0)</f>
        <v/>
      </c>
      <c r="P61">
        <f>YEAR(A61)</f>
        <v/>
      </c>
      <c r="Q61">
        <f>TEXT(A61,"mmm")</f>
        <v/>
      </c>
      <c r="R61">
        <f>IF(B61&lt;25,"18-24",IF(B61&lt;35,"25-34",IF(B61&lt;45,"35-44","45+")))</f>
        <v/>
      </c>
    </row>
    <row r="62">
      <c r="A62" s="23" t="n">
        <v>44525</v>
      </c>
      <c r="B62" s="3" t="n">
        <v>22</v>
      </c>
      <c r="C62" s="3" t="inlineStr">
        <is>
          <t>M</t>
        </is>
      </c>
      <c r="D62" s="3" t="inlineStr">
        <is>
          <t>United States</t>
        </is>
      </c>
      <c r="E62" s="3" t="inlineStr">
        <is>
          <t>California</t>
        </is>
      </c>
      <c r="F62" s="3" t="inlineStr">
        <is>
          <t>Road Bikes</t>
        </is>
      </c>
      <c r="G62" s="3" t="inlineStr">
        <is>
          <t>Red</t>
        </is>
      </c>
      <c r="H62" s="3" t="inlineStr">
        <is>
          <t>Road-250 Red, 44</t>
        </is>
      </c>
      <c r="I62" s="4" t="n">
        <v>1</v>
      </c>
      <c r="J62" s="24" t="n">
        <v>580</v>
      </c>
      <c r="K62" s="24" t="n">
        <v>920</v>
      </c>
      <c r="L62" s="25">
        <f>I62*K62</f>
        <v/>
      </c>
      <c r="M62" s="25">
        <f>I62*J62</f>
        <v/>
      </c>
      <c r="N62" s="25">
        <f>L62-M62</f>
        <v/>
      </c>
      <c r="O62" s="26">
        <f>IFERROR(N62/L62,0)</f>
        <v/>
      </c>
      <c r="P62">
        <f>YEAR(A62)</f>
        <v/>
      </c>
      <c r="Q62">
        <f>TEXT(A62,"mmm")</f>
        <v/>
      </c>
      <c r="R62">
        <f>IF(B62&lt;25,"18-24",IF(B62&lt;35,"25-34",IF(B62&lt;45,"35-44","45+")))</f>
        <v/>
      </c>
    </row>
    <row r="63">
      <c r="A63" s="23" t="n">
        <v>44534</v>
      </c>
      <c r="B63" s="3" t="n">
        <v>22</v>
      </c>
      <c r="C63" s="3" t="inlineStr">
        <is>
          <t>F</t>
        </is>
      </c>
      <c r="D63" s="3" t="inlineStr">
        <is>
          <t>United States</t>
        </is>
      </c>
      <c r="E63" s="3" t="inlineStr">
        <is>
          <t>Oregon</t>
        </is>
      </c>
      <c r="F63" s="3" t="inlineStr">
        <is>
          <t>Road Bikes</t>
        </is>
      </c>
      <c r="G63" s="3" t="inlineStr">
        <is>
          <t>Black</t>
        </is>
      </c>
      <c r="H63" s="3" t="inlineStr">
        <is>
          <t>Road-250 Black, 44</t>
        </is>
      </c>
      <c r="I63" s="4" t="n">
        <v>1</v>
      </c>
      <c r="J63" s="24" t="n">
        <v>580</v>
      </c>
      <c r="K63" s="24" t="n">
        <v>920</v>
      </c>
      <c r="L63" s="25">
        <f>I63*K63</f>
        <v/>
      </c>
      <c r="M63" s="25">
        <f>I63*J63</f>
        <v/>
      </c>
      <c r="N63" s="25">
        <f>L63-M63</f>
        <v/>
      </c>
      <c r="O63" s="26">
        <f>IFERROR(N63/L63,0)</f>
        <v/>
      </c>
      <c r="P63">
        <f>YEAR(A63)</f>
        <v/>
      </c>
      <c r="Q63">
        <f>TEXT(A63,"mmm")</f>
        <v/>
      </c>
      <c r="R63">
        <f>IF(B63&lt;25,"18-24",IF(B63&lt;35,"25-34",IF(B63&lt;45,"35-44","45+")))</f>
        <v/>
      </c>
    </row>
    <row r="64">
      <c r="A64" s="23" t="n">
        <v>44553</v>
      </c>
      <c r="B64" s="3" t="n">
        <v>22</v>
      </c>
      <c r="C64" s="3" t="inlineStr">
        <is>
          <t>M</t>
        </is>
      </c>
      <c r="D64" s="3" t="inlineStr">
        <is>
          <t>United States</t>
        </is>
      </c>
      <c r="E64" s="3" t="inlineStr">
        <is>
          <t>California</t>
        </is>
      </c>
      <c r="F64" s="3" t="inlineStr">
        <is>
          <t>Road Bikes</t>
        </is>
      </c>
      <c r="G64" s="3" t="inlineStr">
        <is>
          <t>Red</t>
        </is>
      </c>
      <c r="H64" s="3" t="inlineStr">
        <is>
          <t>Road-250 Red, 44</t>
        </is>
      </c>
      <c r="I64" s="4" t="n">
        <v>2</v>
      </c>
      <c r="J64" s="24" t="n">
        <v>580</v>
      </c>
      <c r="K64" s="24" t="n">
        <v>920</v>
      </c>
      <c r="L64" s="25">
        <f>I64*K64</f>
        <v/>
      </c>
      <c r="M64" s="25">
        <f>I64*J64</f>
        <v/>
      </c>
      <c r="N64" s="25">
        <f>L64-M64</f>
        <v/>
      </c>
      <c r="O64" s="26">
        <f>IFERROR(N64/L64,0)</f>
        <v/>
      </c>
      <c r="P64">
        <f>YEAR(A64)</f>
        <v/>
      </c>
      <c r="Q64">
        <f>TEXT(A64,"mmm")</f>
        <v/>
      </c>
      <c r="R64">
        <f>IF(B64&lt;25,"18-24",IF(B64&lt;35,"25-34",IF(B64&lt;45,"35-44","45+")))</f>
        <v/>
      </c>
    </row>
    <row r="65">
      <c r="A65" s="23" t="n">
        <v>44559</v>
      </c>
      <c r="B65" s="3" t="n">
        <v>22</v>
      </c>
      <c r="C65" s="3" t="inlineStr">
        <is>
          <t>F</t>
        </is>
      </c>
      <c r="D65" s="3" t="inlineStr">
        <is>
          <t>United States</t>
        </is>
      </c>
      <c r="E65" s="3" t="inlineStr">
        <is>
          <t>California</t>
        </is>
      </c>
      <c r="F65" s="3" t="inlineStr">
        <is>
          <t>Road Bikes</t>
        </is>
      </c>
      <c r="G65" s="3" t="inlineStr">
        <is>
          <t>Black</t>
        </is>
      </c>
      <c r="H65" s="3" t="inlineStr">
        <is>
          <t>Road-750 Black, 44</t>
        </is>
      </c>
      <c r="I65" s="4" t="n">
        <v>1</v>
      </c>
      <c r="J65" s="24" t="n">
        <v>700</v>
      </c>
      <c r="K65" s="24" t="n">
        <v>1100</v>
      </c>
      <c r="L65" s="25">
        <f>I65*K65</f>
        <v/>
      </c>
      <c r="M65" s="25">
        <f>I65*J65</f>
        <v/>
      </c>
      <c r="N65" s="25">
        <f>L65-M65</f>
        <v/>
      </c>
      <c r="O65" s="26">
        <f>IFERROR(N65/L65,0)</f>
        <v/>
      </c>
      <c r="P65">
        <f>YEAR(A65)</f>
        <v/>
      </c>
      <c r="Q65">
        <f>TEXT(A65,"mmm")</f>
        <v/>
      </c>
      <c r="R65">
        <f>IF(B65&lt;25,"18-24",IF(B65&lt;35,"25-34",IF(B65&lt;45,"35-44","45+")))</f>
        <v/>
      </c>
    </row>
    <row r="66">
      <c r="A66" s="23" t="n">
        <v>44490</v>
      </c>
      <c r="B66" s="3" t="n">
        <v>23</v>
      </c>
      <c r="C66" s="3" t="inlineStr">
        <is>
          <t>M</t>
        </is>
      </c>
      <c r="D66" s="3" t="inlineStr">
        <is>
          <t>Australia</t>
        </is>
      </c>
      <c r="E66" s="3" t="inlineStr">
        <is>
          <t>New South Wales</t>
        </is>
      </c>
      <c r="F66" s="3" t="inlineStr">
        <is>
          <t>Road Bikes</t>
        </is>
      </c>
      <c r="G66" s="3" t="inlineStr">
        <is>
          <t>Black</t>
        </is>
      </c>
      <c r="H66" s="3" t="inlineStr">
        <is>
          <t>Road-250 Black, 58</t>
        </is>
      </c>
      <c r="I66" s="4" t="n">
        <v>1</v>
      </c>
      <c r="J66" s="24" t="n">
        <v>580</v>
      </c>
      <c r="K66" s="24" t="n">
        <v>920</v>
      </c>
      <c r="L66" s="25">
        <f>I66*K66</f>
        <v/>
      </c>
      <c r="M66" s="25">
        <f>I66*J66</f>
        <v/>
      </c>
      <c r="N66" s="25">
        <f>L66-M66</f>
        <v/>
      </c>
      <c r="O66" s="26">
        <f>IFERROR(N66/L66,0)</f>
        <v/>
      </c>
      <c r="P66">
        <f>YEAR(A66)</f>
        <v/>
      </c>
      <c r="Q66">
        <f>TEXT(A66,"mmm")</f>
        <v/>
      </c>
      <c r="R66">
        <f>IF(B66&lt;25,"18-24",IF(B66&lt;35,"25-34",IF(B66&lt;45,"35-44","45+")))</f>
        <v/>
      </c>
    </row>
    <row r="67">
      <c r="A67" s="23" t="n">
        <v>44494</v>
      </c>
      <c r="B67" s="3" t="n">
        <v>23</v>
      </c>
      <c r="C67" s="3" t="inlineStr">
        <is>
          <t>M</t>
        </is>
      </c>
      <c r="D67" s="3" t="inlineStr">
        <is>
          <t>France</t>
        </is>
      </c>
      <c r="E67" s="3" t="inlineStr">
        <is>
          <t>Seine (Paris)</t>
        </is>
      </c>
      <c r="F67" s="3" t="inlineStr">
        <is>
          <t>Mountain Bikes</t>
        </is>
      </c>
      <c r="G67" s="3" t="inlineStr">
        <is>
          <t>Black</t>
        </is>
      </c>
      <c r="H67" s="3" t="inlineStr">
        <is>
          <t>Mountain-200 Black, 38</t>
        </is>
      </c>
      <c r="I67" s="4" t="n">
        <v>3</v>
      </c>
      <c r="J67" s="24" t="n">
        <v>550</v>
      </c>
      <c r="K67" s="24" t="n">
        <v>850</v>
      </c>
      <c r="L67" s="25">
        <f>I67*K67</f>
        <v/>
      </c>
      <c r="M67" s="25">
        <f>I67*J67</f>
        <v/>
      </c>
      <c r="N67" s="25">
        <f>L67-M67</f>
        <v/>
      </c>
      <c r="O67" s="26">
        <f>IFERROR(N67/L67,0)</f>
        <v/>
      </c>
      <c r="P67">
        <f>YEAR(A67)</f>
        <v/>
      </c>
      <c r="Q67">
        <f>TEXT(A67,"mmm")</f>
        <v/>
      </c>
      <c r="R67">
        <f>IF(B67&lt;25,"18-24",IF(B67&lt;35,"25-34",IF(B67&lt;45,"35-44","45+")))</f>
        <v/>
      </c>
    </row>
    <row r="68">
      <c r="A68" s="23" t="n">
        <v>44495</v>
      </c>
      <c r="B68" s="3" t="n">
        <v>23</v>
      </c>
      <c r="C68" s="3" t="inlineStr">
        <is>
          <t>F</t>
        </is>
      </c>
      <c r="D68" s="3" t="inlineStr">
        <is>
          <t>Australia</t>
        </is>
      </c>
      <c r="E68" s="3" t="inlineStr">
        <is>
          <t>New South Wales</t>
        </is>
      </c>
      <c r="F68" s="3" t="inlineStr">
        <is>
          <t>Road Bikes</t>
        </is>
      </c>
      <c r="G68" s="3" t="inlineStr">
        <is>
          <t>Yellow</t>
        </is>
      </c>
      <c r="H68" s="3" t="inlineStr">
        <is>
          <t>Road-350-W Yellow, 42</t>
        </is>
      </c>
      <c r="I68" s="4" t="n">
        <v>1</v>
      </c>
      <c r="J68" s="24" t="n">
        <v>530</v>
      </c>
      <c r="K68" s="24" t="n">
        <v>840</v>
      </c>
      <c r="L68" s="25">
        <f>I68*K68</f>
        <v/>
      </c>
      <c r="M68" s="25">
        <f>I68*J68</f>
        <v/>
      </c>
      <c r="N68" s="25">
        <f>L68-M68</f>
        <v/>
      </c>
      <c r="O68" s="26">
        <f>IFERROR(N68/L68,0)</f>
        <v/>
      </c>
      <c r="P68">
        <f>YEAR(A68)</f>
        <v/>
      </c>
      <c r="Q68">
        <f>TEXT(A68,"mmm")</f>
        <v/>
      </c>
      <c r="R68">
        <f>IF(B68&lt;25,"18-24",IF(B68&lt;35,"25-34",IF(B68&lt;45,"35-44","45+")))</f>
        <v/>
      </c>
    </row>
    <row r="69">
      <c r="A69" s="23" t="n">
        <v>44499</v>
      </c>
      <c r="B69" s="3" t="n">
        <v>23</v>
      </c>
      <c r="C69" s="3" t="inlineStr">
        <is>
          <t>M</t>
        </is>
      </c>
      <c r="D69" s="3" t="inlineStr">
        <is>
          <t>United States</t>
        </is>
      </c>
      <c r="E69" s="3" t="inlineStr">
        <is>
          <t>California</t>
        </is>
      </c>
      <c r="F69" s="3" t="inlineStr">
        <is>
          <t>Road Bikes</t>
        </is>
      </c>
      <c r="G69" s="3" t="inlineStr">
        <is>
          <t>Yellow</t>
        </is>
      </c>
      <c r="H69" s="3" t="inlineStr">
        <is>
          <t>Road-550-W Yellow, 42</t>
        </is>
      </c>
      <c r="I69" s="4" t="n">
        <v>3</v>
      </c>
      <c r="J69" s="24" t="n">
        <v>500</v>
      </c>
      <c r="K69" s="24" t="n">
        <v>800</v>
      </c>
      <c r="L69" s="25">
        <f>I69*K69</f>
        <v/>
      </c>
      <c r="M69" s="25">
        <f>I69*J69</f>
        <v/>
      </c>
      <c r="N69" s="25">
        <f>L69-M69</f>
        <v/>
      </c>
      <c r="O69" s="26">
        <f>IFERROR(N69/L69,0)</f>
        <v/>
      </c>
      <c r="P69">
        <f>YEAR(A69)</f>
        <v/>
      </c>
      <c r="Q69">
        <f>TEXT(A69,"mmm")</f>
        <v/>
      </c>
      <c r="R69">
        <f>IF(B69&lt;25,"18-24",IF(B69&lt;35,"25-34",IF(B69&lt;45,"35-44","45+")))</f>
        <v/>
      </c>
    </row>
    <row r="70">
      <c r="A70" s="23" t="n">
        <v>44514</v>
      </c>
      <c r="B70" s="3" t="n">
        <v>23</v>
      </c>
      <c r="C70" s="3" t="inlineStr">
        <is>
          <t>F</t>
        </is>
      </c>
      <c r="D70" s="3" t="inlineStr">
        <is>
          <t>United States</t>
        </is>
      </c>
      <c r="E70" s="3" t="inlineStr">
        <is>
          <t>Washington</t>
        </is>
      </c>
      <c r="F70" s="3" t="inlineStr">
        <is>
          <t>Road Bikes</t>
        </is>
      </c>
      <c r="G70" s="3" t="inlineStr">
        <is>
          <t>Red</t>
        </is>
      </c>
      <c r="H70" s="3" t="inlineStr">
        <is>
          <t>Road-150 Red, 48</t>
        </is>
      </c>
      <c r="I70" s="4" t="n">
        <v>3</v>
      </c>
      <c r="J70" s="24" t="n">
        <v>900</v>
      </c>
      <c r="K70" s="24" t="n">
        <v>1400</v>
      </c>
      <c r="L70" s="25">
        <f>I70*K70</f>
        <v/>
      </c>
      <c r="M70" s="25">
        <f>I70*J70</f>
        <v/>
      </c>
      <c r="N70" s="25">
        <f>L70-M70</f>
        <v/>
      </c>
      <c r="O70" s="26">
        <f>IFERROR(N70/L70,0)</f>
        <v/>
      </c>
      <c r="P70">
        <f>YEAR(A70)</f>
        <v/>
      </c>
      <c r="Q70">
        <f>TEXT(A70,"mmm")</f>
        <v/>
      </c>
      <c r="R70">
        <f>IF(B70&lt;25,"18-24",IF(B70&lt;35,"25-34",IF(B70&lt;45,"35-44","45+")))</f>
        <v/>
      </c>
    </row>
    <row r="71">
      <c r="A71" s="23" t="n">
        <v>44516</v>
      </c>
      <c r="B71" s="3" t="n">
        <v>23</v>
      </c>
      <c r="C71" s="3" t="inlineStr">
        <is>
          <t>M</t>
        </is>
      </c>
      <c r="D71" s="3" t="inlineStr">
        <is>
          <t>United States</t>
        </is>
      </c>
      <c r="E71" s="3" t="inlineStr">
        <is>
          <t>Oregon</t>
        </is>
      </c>
      <c r="F71" s="3" t="inlineStr">
        <is>
          <t>Road Bikes</t>
        </is>
      </c>
      <c r="G71" s="3" t="inlineStr">
        <is>
          <t>Yellow</t>
        </is>
      </c>
      <c r="H71" s="3" t="inlineStr">
        <is>
          <t>Road-350-W Yellow, 42</t>
        </is>
      </c>
      <c r="I71" s="4" t="n">
        <v>1</v>
      </c>
      <c r="J71" s="24" t="n">
        <v>530</v>
      </c>
      <c r="K71" s="24" t="n">
        <v>840</v>
      </c>
      <c r="L71" s="25">
        <f>I71*K71</f>
        <v/>
      </c>
      <c r="M71" s="25">
        <f>I71*J71</f>
        <v/>
      </c>
      <c r="N71" s="25">
        <f>L71-M71</f>
        <v/>
      </c>
      <c r="O71" s="26">
        <f>IFERROR(N71/L71,0)</f>
        <v/>
      </c>
      <c r="P71">
        <f>YEAR(A71)</f>
        <v/>
      </c>
      <c r="Q71">
        <f>TEXT(A71,"mmm")</f>
        <v/>
      </c>
      <c r="R71">
        <f>IF(B71&lt;25,"18-24",IF(B71&lt;35,"25-34",IF(B71&lt;45,"35-44","45+")))</f>
        <v/>
      </c>
    </row>
    <row r="72">
      <c r="A72" s="23" t="n">
        <v>44518</v>
      </c>
      <c r="B72" s="3" t="n">
        <v>23</v>
      </c>
      <c r="C72" s="3" t="inlineStr">
        <is>
          <t>F</t>
        </is>
      </c>
      <c r="D72" s="3" t="inlineStr">
        <is>
          <t>United States</t>
        </is>
      </c>
      <c r="E72" s="3" t="inlineStr">
        <is>
          <t>California</t>
        </is>
      </c>
      <c r="F72" s="3" t="inlineStr">
        <is>
          <t>Road Bikes</t>
        </is>
      </c>
      <c r="G72" s="3" t="inlineStr">
        <is>
          <t>Yellow</t>
        </is>
      </c>
      <c r="H72" s="3" t="inlineStr">
        <is>
          <t>Road-550-W Yellow, 42</t>
        </is>
      </c>
      <c r="I72" s="4" t="n">
        <v>1</v>
      </c>
      <c r="J72" s="24" t="n">
        <v>500</v>
      </c>
      <c r="K72" s="24" t="n">
        <v>800</v>
      </c>
      <c r="L72" s="25">
        <f>I72*K72</f>
        <v/>
      </c>
      <c r="M72" s="25">
        <f>I72*J72</f>
        <v/>
      </c>
      <c r="N72" s="25">
        <f>L72-M72</f>
        <v/>
      </c>
      <c r="O72" s="26">
        <f>IFERROR(N72/L72,0)</f>
        <v/>
      </c>
      <c r="P72">
        <f>YEAR(A72)</f>
        <v/>
      </c>
      <c r="Q72">
        <f>TEXT(A72,"mmm")</f>
        <v/>
      </c>
      <c r="R72">
        <f>IF(B72&lt;25,"18-24",IF(B72&lt;35,"25-34",IF(B72&lt;45,"35-44","45+")))</f>
        <v/>
      </c>
    </row>
    <row r="73">
      <c r="A73" s="23" t="n">
        <v>44524</v>
      </c>
      <c r="B73" s="3" t="n">
        <v>23</v>
      </c>
      <c r="C73" s="3" t="inlineStr">
        <is>
          <t>M</t>
        </is>
      </c>
      <c r="D73" s="3" t="inlineStr">
        <is>
          <t>United States</t>
        </is>
      </c>
      <c r="E73" s="3" t="inlineStr">
        <is>
          <t>California</t>
        </is>
      </c>
      <c r="F73" s="3" t="inlineStr">
        <is>
          <t>Mountain Bikes</t>
        </is>
      </c>
      <c r="G73" s="3" t="inlineStr">
        <is>
          <t>Silver</t>
        </is>
      </c>
      <c r="H73" s="3" t="inlineStr">
        <is>
          <t>Mountain-200 Silver, 38</t>
        </is>
      </c>
      <c r="I73" s="4" t="n">
        <v>1</v>
      </c>
      <c r="J73" s="24" t="n">
        <v>550</v>
      </c>
      <c r="K73" s="24" t="n">
        <v>850</v>
      </c>
      <c r="L73" s="25">
        <f>I73*K73</f>
        <v/>
      </c>
      <c r="M73" s="25">
        <f>I73*J73</f>
        <v/>
      </c>
      <c r="N73" s="25">
        <f>L73-M73</f>
        <v/>
      </c>
      <c r="O73" s="26">
        <f>IFERROR(N73/L73,0)</f>
        <v/>
      </c>
      <c r="P73">
        <f>YEAR(A73)</f>
        <v/>
      </c>
      <c r="Q73">
        <f>TEXT(A73,"mmm")</f>
        <v/>
      </c>
      <c r="R73">
        <f>IF(B73&lt;25,"18-24",IF(B73&lt;35,"25-34",IF(B73&lt;45,"35-44","45+")))</f>
        <v/>
      </c>
    </row>
    <row r="74">
      <c r="A74" s="23" t="n">
        <v>44524</v>
      </c>
      <c r="B74" s="3" t="n">
        <v>23</v>
      </c>
      <c r="C74" s="3" t="inlineStr">
        <is>
          <t>M</t>
        </is>
      </c>
      <c r="D74" s="3" t="inlineStr">
        <is>
          <t>Australia</t>
        </is>
      </c>
      <c r="E74" s="3" t="inlineStr">
        <is>
          <t>New South Wales</t>
        </is>
      </c>
      <c r="F74" s="3" t="inlineStr">
        <is>
          <t>Road Bikes</t>
        </is>
      </c>
      <c r="G74" s="3" t="inlineStr">
        <is>
          <t>Black</t>
        </is>
      </c>
      <c r="H74" s="3" t="inlineStr">
        <is>
          <t>Road-250 Black, 58</t>
        </is>
      </c>
      <c r="I74" s="4" t="n">
        <v>1</v>
      </c>
      <c r="J74" s="24" t="n">
        <v>580</v>
      </c>
      <c r="K74" s="24" t="n">
        <v>920</v>
      </c>
      <c r="L74" s="25">
        <f>I74*K74</f>
        <v/>
      </c>
      <c r="M74" s="25">
        <f>I74*J74</f>
        <v/>
      </c>
      <c r="N74" s="25">
        <f>L74-M74</f>
        <v/>
      </c>
      <c r="O74" s="26">
        <f>IFERROR(N74/L74,0)</f>
        <v/>
      </c>
      <c r="P74">
        <f>YEAR(A74)</f>
        <v/>
      </c>
      <c r="Q74">
        <f>TEXT(A74,"mmm")</f>
        <v/>
      </c>
      <c r="R74">
        <f>IF(B74&lt;25,"18-24",IF(B74&lt;35,"25-34",IF(B74&lt;45,"35-44","45+")))</f>
        <v/>
      </c>
    </row>
    <row r="75">
      <c r="A75" s="23" t="n">
        <v>44531</v>
      </c>
      <c r="B75" s="3" t="n">
        <v>23</v>
      </c>
      <c r="C75" s="3" t="inlineStr">
        <is>
          <t>M</t>
        </is>
      </c>
      <c r="D75" s="3" t="inlineStr">
        <is>
          <t>United Kingdom</t>
        </is>
      </c>
      <c r="E75" s="3" t="inlineStr">
        <is>
          <t>England</t>
        </is>
      </c>
      <c r="F75" s="3" t="inlineStr">
        <is>
          <t>Road Bikes</t>
        </is>
      </c>
      <c r="G75" s="3" t="inlineStr">
        <is>
          <t>Red</t>
        </is>
      </c>
      <c r="H75" s="3" t="inlineStr">
        <is>
          <t>Road-150 Red, 52</t>
        </is>
      </c>
      <c r="I75" s="4" t="n">
        <v>1</v>
      </c>
      <c r="J75" s="24" t="n">
        <v>900</v>
      </c>
      <c r="K75" s="24" t="n">
        <v>1400</v>
      </c>
      <c r="L75" s="25">
        <f>I75*K75</f>
        <v/>
      </c>
      <c r="M75" s="25">
        <f>I75*J75</f>
        <v/>
      </c>
      <c r="N75" s="25">
        <f>L75-M75</f>
        <v/>
      </c>
      <c r="O75" s="26">
        <f>IFERROR(N75/L75,0)</f>
        <v/>
      </c>
      <c r="P75">
        <f>YEAR(A75)</f>
        <v/>
      </c>
      <c r="Q75">
        <f>TEXT(A75,"mmm")</f>
        <v/>
      </c>
      <c r="R75">
        <f>IF(B75&lt;25,"18-24",IF(B75&lt;35,"25-34",IF(B75&lt;45,"35-44","45+")))</f>
        <v/>
      </c>
    </row>
    <row r="76">
      <c r="A76" s="23" t="n">
        <v>44531</v>
      </c>
      <c r="B76" s="3" t="n">
        <v>23</v>
      </c>
      <c r="C76" s="3" t="inlineStr">
        <is>
          <t>F</t>
        </is>
      </c>
      <c r="D76" s="3" t="inlineStr">
        <is>
          <t>United States</t>
        </is>
      </c>
      <c r="E76" s="3" t="inlineStr">
        <is>
          <t>California</t>
        </is>
      </c>
      <c r="F76" s="3" t="inlineStr">
        <is>
          <t>Road Bikes</t>
        </is>
      </c>
      <c r="G76" s="3" t="inlineStr">
        <is>
          <t>Yellow</t>
        </is>
      </c>
      <c r="H76" s="3" t="inlineStr">
        <is>
          <t>Road-550-W Yellow, 42</t>
        </is>
      </c>
      <c r="I76" s="4" t="n">
        <v>1</v>
      </c>
      <c r="J76" s="24" t="n">
        <v>500</v>
      </c>
      <c r="K76" s="24" t="n">
        <v>800</v>
      </c>
      <c r="L76" s="25">
        <f>I76*K76</f>
        <v/>
      </c>
      <c r="M76" s="25">
        <f>I76*J76</f>
        <v/>
      </c>
      <c r="N76" s="25">
        <f>L76-M76</f>
        <v/>
      </c>
      <c r="O76" s="26">
        <f>IFERROR(N76/L76,0)</f>
        <v/>
      </c>
      <c r="P76">
        <f>YEAR(A76)</f>
        <v/>
      </c>
      <c r="Q76">
        <f>TEXT(A76,"mmm")</f>
        <v/>
      </c>
      <c r="R76">
        <f>IF(B76&lt;25,"18-24",IF(B76&lt;35,"25-34",IF(B76&lt;45,"35-44","45+")))</f>
        <v/>
      </c>
    </row>
    <row r="77">
      <c r="A77" s="23" t="n">
        <v>44536</v>
      </c>
      <c r="B77" s="3" t="n">
        <v>23</v>
      </c>
      <c r="C77" s="3" t="inlineStr">
        <is>
          <t>M</t>
        </is>
      </c>
      <c r="D77" s="3" t="inlineStr">
        <is>
          <t>United Kingdom</t>
        </is>
      </c>
      <c r="E77" s="3" t="inlineStr">
        <is>
          <t>England</t>
        </is>
      </c>
      <c r="F77" s="3" t="inlineStr">
        <is>
          <t>Mountain Bikes</t>
        </is>
      </c>
      <c r="G77" s="3" t="inlineStr">
        <is>
          <t>Silver</t>
        </is>
      </c>
      <c r="H77" s="3" t="inlineStr">
        <is>
          <t>Mountain-400-W Silver, 46</t>
        </is>
      </c>
      <c r="I77" s="4" t="n">
        <v>3</v>
      </c>
      <c r="J77" s="24" t="n">
        <v>450</v>
      </c>
      <c r="K77" s="24" t="n">
        <v>720</v>
      </c>
      <c r="L77" s="25">
        <f>I77*K77</f>
        <v/>
      </c>
      <c r="M77" s="25">
        <f>I77*J77</f>
        <v/>
      </c>
      <c r="N77" s="25">
        <f>L77-M77</f>
        <v/>
      </c>
      <c r="O77" s="26">
        <f>IFERROR(N77/L77,0)</f>
        <v/>
      </c>
      <c r="P77">
        <f>YEAR(A77)</f>
        <v/>
      </c>
      <c r="Q77">
        <f>TEXT(A77,"mmm")</f>
        <v/>
      </c>
      <c r="R77">
        <f>IF(B77&lt;25,"18-24",IF(B77&lt;35,"25-34",IF(B77&lt;45,"35-44","45+")))</f>
        <v/>
      </c>
    </row>
    <row r="78">
      <c r="A78" s="23" t="n">
        <v>44536</v>
      </c>
      <c r="B78" s="3" t="n">
        <v>23</v>
      </c>
      <c r="C78" s="3" t="inlineStr">
        <is>
          <t>M</t>
        </is>
      </c>
      <c r="D78" s="3" t="inlineStr">
        <is>
          <t>France</t>
        </is>
      </c>
      <c r="E78" s="3" t="inlineStr">
        <is>
          <t>Seine Saint Denis</t>
        </is>
      </c>
      <c r="F78" s="3" t="inlineStr">
        <is>
          <t>Road Bikes</t>
        </is>
      </c>
      <c r="G78" s="3" t="inlineStr">
        <is>
          <t>Red</t>
        </is>
      </c>
      <c r="H78" s="3" t="inlineStr">
        <is>
          <t>Road-150 Red, 56</t>
        </is>
      </c>
      <c r="I78" s="4" t="n">
        <v>2</v>
      </c>
      <c r="J78" s="24" t="n">
        <v>900</v>
      </c>
      <c r="K78" s="24" t="n">
        <v>1400</v>
      </c>
      <c r="L78" s="25">
        <f>I78*K78</f>
        <v/>
      </c>
      <c r="M78" s="25">
        <f>I78*J78</f>
        <v/>
      </c>
      <c r="N78" s="25">
        <f>L78-M78</f>
        <v/>
      </c>
      <c r="O78" s="26">
        <f>IFERROR(N78/L78,0)</f>
        <v/>
      </c>
      <c r="P78">
        <f>YEAR(A78)</f>
        <v/>
      </c>
      <c r="Q78">
        <f>TEXT(A78,"mmm")</f>
        <v/>
      </c>
      <c r="R78">
        <f>IF(B78&lt;25,"18-24",IF(B78&lt;35,"25-34",IF(B78&lt;45,"35-44","45+")))</f>
        <v/>
      </c>
    </row>
    <row r="79">
      <c r="A79" s="23" t="n">
        <v>44540</v>
      </c>
      <c r="B79" s="3" t="n">
        <v>23</v>
      </c>
      <c r="C79" s="3" t="inlineStr">
        <is>
          <t>F</t>
        </is>
      </c>
      <c r="D79" s="3" t="inlineStr">
        <is>
          <t>United States</t>
        </is>
      </c>
      <c r="E79" s="3" t="inlineStr">
        <is>
          <t>Washington</t>
        </is>
      </c>
      <c r="F79" s="3" t="inlineStr">
        <is>
          <t>Road Bikes</t>
        </is>
      </c>
      <c r="G79" s="3" t="inlineStr">
        <is>
          <t>Red</t>
        </is>
      </c>
      <c r="H79" s="3" t="inlineStr">
        <is>
          <t>Road-150 Red, 48</t>
        </is>
      </c>
      <c r="I79" s="4" t="n">
        <v>1</v>
      </c>
      <c r="J79" s="24" t="n">
        <v>900</v>
      </c>
      <c r="K79" s="24" t="n">
        <v>1400</v>
      </c>
      <c r="L79" s="25">
        <f>I79*K79</f>
        <v/>
      </c>
      <c r="M79" s="25">
        <f>I79*J79</f>
        <v/>
      </c>
      <c r="N79" s="25">
        <f>L79-M79</f>
        <v/>
      </c>
      <c r="O79" s="26">
        <f>IFERROR(N79/L79,0)</f>
        <v/>
      </c>
      <c r="P79">
        <f>YEAR(A79)</f>
        <v/>
      </c>
      <c r="Q79">
        <f>TEXT(A79,"mmm")</f>
        <v/>
      </c>
      <c r="R79">
        <f>IF(B79&lt;25,"18-24",IF(B79&lt;35,"25-34",IF(B79&lt;45,"35-44","45+")))</f>
        <v/>
      </c>
    </row>
    <row r="80">
      <c r="A80" s="23" t="n">
        <v>44542</v>
      </c>
      <c r="B80" s="3" t="n">
        <v>23</v>
      </c>
      <c r="C80" s="3" t="inlineStr">
        <is>
          <t>M</t>
        </is>
      </c>
      <c r="D80" s="3" t="inlineStr">
        <is>
          <t>United States</t>
        </is>
      </c>
      <c r="E80" s="3" t="inlineStr">
        <is>
          <t>Washington</t>
        </is>
      </c>
      <c r="F80" s="3" t="inlineStr">
        <is>
          <t>Road Bikes</t>
        </is>
      </c>
      <c r="G80" s="3" t="inlineStr">
        <is>
          <t>Black</t>
        </is>
      </c>
      <c r="H80" s="3" t="inlineStr">
        <is>
          <t>Road-750 Black, 52</t>
        </is>
      </c>
      <c r="I80" s="4" t="n">
        <v>2</v>
      </c>
      <c r="J80" s="24" t="n">
        <v>700</v>
      </c>
      <c r="K80" s="24" t="n">
        <v>1100</v>
      </c>
      <c r="L80" s="25">
        <f>I80*K80</f>
        <v/>
      </c>
      <c r="M80" s="25">
        <f>I80*J80</f>
        <v/>
      </c>
      <c r="N80" s="25">
        <f>L80-M80</f>
        <v/>
      </c>
      <c r="O80" s="26">
        <f>IFERROR(N80/L80,0)</f>
        <v/>
      </c>
      <c r="P80">
        <f>YEAR(A80)</f>
        <v/>
      </c>
      <c r="Q80">
        <f>TEXT(A80,"mmm")</f>
        <v/>
      </c>
      <c r="R80">
        <f>IF(B80&lt;25,"18-24",IF(B80&lt;35,"25-34",IF(B80&lt;45,"35-44","45+")))</f>
        <v/>
      </c>
    </row>
    <row r="81">
      <c r="A81" s="23" t="n">
        <v>44545</v>
      </c>
      <c r="B81" s="3" t="n">
        <v>23</v>
      </c>
      <c r="C81" s="3" t="inlineStr">
        <is>
          <t>M</t>
        </is>
      </c>
      <c r="D81" s="3" t="inlineStr">
        <is>
          <t>United Kingdom</t>
        </is>
      </c>
      <c r="E81" s="3" t="inlineStr">
        <is>
          <t>England</t>
        </is>
      </c>
      <c r="F81" s="3" t="inlineStr">
        <is>
          <t>Road Bikes</t>
        </is>
      </c>
      <c r="G81" s="3" t="inlineStr">
        <is>
          <t>Red</t>
        </is>
      </c>
      <c r="H81" s="3" t="inlineStr">
        <is>
          <t>Road-150 Red, 52</t>
        </is>
      </c>
      <c r="I81" s="4" t="n">
        <v>4</v>
      </c>
      <c r="J81" s="24" t="n">
        <v>900</v>
      </c>
      <c r="K81" s="24" t="n">
        <v>1400</v>
      </c>
      <c r="L81" s="25">
        <f>I81*K81</f>
        <v/>
      </c>
      <c r="M81" s="25">
        <f>I81*J81</f>
        <v/>
      </c>
      <c r="N81" s="25">
        <f>L81-M81</f>
        <v/>
      </c>
      <c r="O81" s="26">
        <f>IFERROR(N81/L81,0)</f>
        <v/>
      </c>
      <c r="P81">
        <f>YEAR(A81)</f>
        <v/>
      </c>
      <c r="Q81">
        <f>TEXT(A81,"mmm")</f>
        <v/>
      </c>
      <c r="R81">
        <f>IF(B81&lt;25,"18-24",IF(B81&lt;35,"25-34",IF(B81&lt;45,"35-44","45+")))</f>
        <v/>
      </c>
    </row>
    <row r="82">
      <c r="A82" s="23" t="n">
        <v>44551</v>
      </c>
      <c r="B82" s="3" t="n">
        <v>23</v>
      </c>
      <c r="C82" s="3" t="inlineStr">
        <is>
          <t>M</t>
        </is>
      </c>
      <c r="D82" s="3" t="inlineStr">
        <is>
          <t>United Kingdom</t>
        </is>
      </c>
      <c r="E82" s="3" t="inlineStr">
        <is>
          <t>England</t>
        </is>
      </c>
      <c r="F82" s="3" t="inlineStr">
        <is>
          <t>Mountain Bikes</t>
        </is>
      </c>
      <c r="G82" s="3" t="inlineStr">
        <is>
          <t>Silver</t>
        </is>
      </c>
      <c r="H82" s="3" t="inlineStr">
        <is>
          <t>Mountain-400-W Silver, 46</t>
        </is>
      </c>
      <c r="I82" s="4" t="n">
        <v>2</v>
      </c>
      <c r="J82" s="24" t="n">
        <v>450</v>
      </c>
      <c r="K82" s="24" t="n">
        <v>720</v>
      </c>
      <c r="L82" s="25">
        <f>I82*K82</f>
        <v/>
      </c>
      <c r="M82" s="25">
        <f>I82*J82</f>
        <v/>
      </c>
      <c r="N82" s="25">
        <f>L82-M82</f>
        <v/>
      </c>
      <c r="O82" s="26">
        <f>IFERROR(N82/L82,0)</f>
        <v/>
      </c>
      <c r="P82">
        <f>YEAR(A82)</f>
        <v/>
      </c>
      <c r="Q82">
        <f>TEXT(A82,"mmm")</f>
        <v/>
      </c>
      <c r="R82">
        <f>IF(B82&lt;25,"18-24",IF(B82&lt;35,"25-34",IF(B82&lt;45,"35-44","45+")))</f>
        <v/>
      </c>
    </row>
    <row r="83">
      <c r="A83" s="23" t="n">
        <v>44553</v>
      </c>
      <c r="B83" s="3" t="n">
        <v>23</v>
      </c>
      <c r="C83" s="3" t="inlineStr">
        <is>
          <t>M</t>
        </is>
      </c>
      <c r="D83" s="3" t="inlineStr">
        <is>
          <t>United States</t>
        </is>
      </c>
      <c r="E83" s="3" t="inlineStr">
        <is>
          <t>Oregon</t>
        </is>
      </c>
      <c r="F83" s="3" t="inlineStr">
        <is>
          <t>Road Bikes</t>
        </is>
      </c>
      <c r="G83" s="3" t="inlineStr">
        <is>
          <t>Yellow</t>
        </is>
      </c>
      <c r="H83" s="3" t="inlineStr">
        <is>
          <t>Road-350-W Yellow, 42</t>
        </is>
      </c>
      <c r="I83" s="4" t="n">
        <v>3</v>
      </c>
      <c r="J83" s="24" t="n">
        <v>530</v>
      </c>
      <c r="K83" s="24" t="n">
        <v>840</v>
      </c>
      <c r="L83" s="25">
        <f>I83*K83</f>
        <v/>
      </c>
      <c r="M83" s="25">
        <f>I83*J83</f>
        <v/>
      </c>
      <c r="N83" s="25">
        <f>L83-M83</f>
        <v/>
      </c>
      <c r="O83" s="26">
        <f>IFERROR(N83/L83,0)</f>
        <v/>
      </c>
      <c r="P83">
        <f>YEAR(A83)</f>
        <v/>
      </c>
      <c r="Q83">
        <f>TEXT(A83,"mmm")</f>
        <v/>
      </c>
      <c r="R83">
        <f>IF(B83&lt;25,"18-24",IF(B83&lt;35,"25-34",IF(B83&lt;45,"35-44","45+")))</f>
        <v/>
      </c>
    </row>
    <row r="84">
      <c r="A84" s="23" t="n">
        <v>44559</v>
      </c>
      <c r="B84" s="3" t="n">
        <v>23</v>
      </c>
      <c r="C84" s="3" t="inlineStr">
        <is>
          <t>F</t>
        </is>
      </c>
      <c r="D84" s="3" t="inlineStr">
        <is>
          <t>Germany</t>
        </is>
      </c>
      <c r="E84" s="3" t="inlineStr">
        <is>
          <t>Hessen</t>
        </is>
      </c>
      <c r="F84" s="3" t="inlineStr">
        <is>
          <t>Road Bikes</t>
        </is>
      </c>
      <c r="G84" s="3" t="inlineStr">
        <is>
          <t>Red</t>
        </is>
      </c>
      <c r="H84" s="3" t="inlineStr">
        <is>
          <t>Road-250 Red, 48</t>
        </is>
      </c>
      <c r="I84" s="4" t="n">
        <v>3</v>
      </c>
      <c r="J84" s="24" t="n">
        <v>580</v>
      </c>
      <c r="K84" s="24" t="n">
        <v>920</v>
      </c>
      <c r="L84" s="25">
        <f>I84*K84</f>
        <v/>
      </c>
      <c r="M84" s="25">
        <f>I84*J84</f>
        <v/>
      </c>
      <c r="N84" s="25">
        <f>L84-M84</f>
        <v/>
      </c>
      <c r="O84" s="26">
        <f>IFERROR(N84/L84,0)</f>
        <v/>
      </c>
      <c r="P84">
        <f>YEAR(A84)</f>
        <v/>
      </c>
      <c r="Q84">
        <f>TEXT(A84,"mmm")</f>
        <v/>
      </c>
      <c r="R84">
        <f>IF(B84&lt;25,"18-24",IF(B84&lt;35,"25-34",IF(B84&lt;45,"35-44","45+")))</f>
        <v/>
      </c>
    </row>
    <row r="85">
      <c r="A85" s="23" t="n">
        <v>44559</v>
      </c>
      <c r="B85" s="3" t="n">
        <v>23</v>
      </c>
      <c r="C85" s="3" t="inlineStr">
        <is>
          <t>F</t>
        </is>
      </c>
      <c r="D85" s="3" t="inlineStr">
        <is>
          <t>France</t>
        </is>
      </c>
      <c r="E85" s="3" t="inlineStr">
        <is>
          <t>Seine (Paris)</t>
        </is>
      </c>
      <c r="F85" s="3" t="inlineStr">
        <is>
          <t>Road Bikes</t>
        </is>
      </c>
      <c r="G85" s="3" t="inlineStr">
        <is>
          <t>Red</t>
        </is>
      </c>
      <c r="H85" s="3" t="inlineStr">
        <is>
          <t>Road-150 Red, 52</t>
        </is>
      </c>
      <c r="I85" s="4" t="n">
        <v>1</v>
      </c>
      <c r="J85" s="24" t="n">
        <v>900</v>
      </c>
      <c r="K85" s="24" t="n">
        <v>1400</v>
      </c>
      <c r="L85" s="25">
        <f>I85*K85</f>
        <v/>
      </c>
      <c r="M85" s="25">
        <f>I85*J85</f>
        <v/>
      </c>
      <c r="N85" s="25">
        <f>L85-M85</f>
        <v/>
      </c>
      <c r="O85" s="26">
        <f>IFERROR(N85/L85,0)</f>
        <v/>
      </c>
      <c r="P85">
        <f>YEAR(A85)</f>
        <v/>
      </c>
      <c r="Q85">
        <f>TEXT(A85,"mmm")</f>
        <v/>
      </c>
      <c r="R85">
        <f>IF(B85&lt;25,"18-24",IF(B85&lt;35,"25-34",IF(B85&lt;45,"35-44","45+")))</f>
        <v/>
      </c>
    </row>
    <row r="86">
      <c r="A86" s="23" t="n">
        <v>44560</v>
      </c>
      <c r="B86" s="3" t="n">
        <v>23</v>
      </c>
      <c r="C86" s="3" t="inlineStr">
        <is>
          <t>M</t>
        </is>
      </c>
      <c r="D86" s="3" t="inlineStr">
        <is>
          <t>United Kingdom</t>
        </is>
      </c>
      <c r="E86" s="3" t="inlineStr">
        <is>
          <t>England</t>
        </is>
      </c>
      <c r="F86" s="3" t="inlineStr">
        <is>
          <t>Road Bikes</t>
        </is>
      </c>
      <c r="G86" s="3" t="inlineStr">
        <is>
          <t>Red</t>
        </is>
      </c>
      <c r="H86" s="3" t="inlineStr">
        <is>
          <t>Road-150 Red, 52</t>
        </is>
      </c>
      <c r="I86" s="4" t="n">
        <v>3</v>
      </c>
      <c r="J86" s="24" t="n">
        <v>900</v>
      </c>
      <c r="K86" s="24" t="n">
        <v>1400</v>
      </c>
      <c r="L86" s="25">
        <f>I86*K86</f>
        <v/>
      </c>
      <c r="M86" s="25">
        <f>I86*J86</f>
        <v/>
      </c>
      <c r="N86" s="25">
        <f>L86-M86</f>
        <v/>
      </c>
      <c r="O86" s="26">
        <f>IFERROR(N86/L86,0)</f>
        <v/>
      </c>
      <c r="P86">
        <f>YEAR(A86)</f>
        <v/>
      </c>
      <c r="Q86">
        <f>TEXT(A86,"mmm")</f>
        <v/>
      </c>
      <c r="R86">
        <f>IF(B86&lt;25,"18-24",IF(B86&lt;35,"25-34",IF(B86&lt;45,"35-44","45+")))</f>
        <v/>
      </c>
    </row>
    <row r="87">
      <c r="A87" s="23" t="n">
        <v>44475</v>
      </c>
      <c r="B87" s="3" t="n">
        <v>24</v>
      </c>
      <c r="C87" s="3" t="inlineStr">
        <is>
          <t>F</t>
        </is>
      </c>
      <c r="D87" s="3" t="inlineStr">
        <is>
          <t>Australia</t>
        </is>
      </c>
      <c r="E87" s="3" t="inlineStr">
        <is>
          <t>Victoria</t>
        </is>
      </c>
      <c r="F87" s="3" t="inlineStr">
        <is>
          <t>Road Bikes</t>
        </is>
      </c>
      <c r="G87" s="3" t="inlineStr">
        <is>
          <t>Yellow</t>
        </is>
      </c>
      <c r="H87" s="3" t="inlineStr">
        <is>
          <t>Road-550-W Yellow, 40</t>
        </is>
      </c>
      <c r="I87" s="4" t="n">
        <v>2</v>
      </c>
      <c r="J87" s="24" t="n">
        <v>500</v>
      </c>
      <c r="K87" s="24" t="n">
        <v>800</v>
      </c>
      <c r="L87" s="25">
        <f>I87*K87</f>
        <v/>
      </c>
      <c r="M87" s="25">
        <f>I87*J87</f>
        <v/>
      </c>
      <c r="N87" s="25">
        <f>L87-M87</f>
        <v/>
      </c>
      <c r="O87" s="26">
        <f>IFERROR(N87/L87,0)</f>
        <v/>
      </c>
      <c r="P87">
        <f>YEAR(A87)</f>
        <v/>
      </c>
      <c r="Q87">
        <f>TEXT(A87,"mmm")</f>
        <v/>
      </c>
      <c r="R87">
        <f>IF(B87&lt;25,"18-24",IF(B87&lt;35,"25-34",IF(B87&lt;45,"35-44","45+")))</f>
        <v/>
      </c>
    </row>
    <row r="88">
      <c r="A88" s="23" t="n">
        <v>44484</v>
      </c>
      <c r="B88" s="3" t="n">
        <v>24</v>
      </c>
      <c r="C88" s="3" t="inlineStr">
        <is>
          <t>F</t>
        </is>
      </c>
      <c r="D88" s="3" t="inlineStr">
        <is>
          <t>Australia</t>
        </is>
      </c>
      <c r="E88" s="3" t="inlineStr">
        <is>
          <t>Tasmania</t>
        </is>
      </c>
      <c r="F88" s="3" t="inlineStr">
        <is>
          <t>Road Bikes</t>
        </is>
      </c>
      <c r="G88" s="3" t="inlineStr">
        <is>
          <t>Yellow</t>
        </is>
      </c>
      <c r="H88" s="3" t="inlineStr">
        <is>
          <t>Road-550-W Yellow, 48</t>
        </is>
      </c>
      <c r="I88" s="4" t="n">
        <v>3</v>
      </c>
      <c r="J88" s="24" t="n">
        <v>500</v>
      </c>
      <c r="K88" s="24" t="n">
        <v>800</v>
      </c>
      <c r="L88" s="25">
        <f>I88*K88</f>
        <v/>
      </c>
      <c r="M88" s="25">
        <f>I88*J88</f>
        <v/>
      </c>
      <c r="N88" s="25">
        <f>L88-M88</f>
        <v/>
      </c>
      <c r="O88" s="26">
        <f>IFERROR(N88/L88,0)</f>
        <v/>
      </c>
      <c r="P88">
        <f>YEAR(A88)</f>
        <v/>
      </c>
      <c r="Q88">
        <f>TEXT(A88,"mmm")</f>
        <v/>
      </c>
      <c r="R88">
        <f>IF(B88&lt;25,"18-24",IF(B88&lt;35,"25-34",IF(B88&lt;45,"35-44","45+")))</f>
        <v/>
      </c>
    </row>
    <row r="89">
      <c r="A89" s="23" t="n">
        <v>44494</v>
      </c>
      <c r="B89" s="3" t="n">
        <v>24</v>
      </c>
      <c r="C89" s="3" t="inlineStr">
        <is>
          <t>F</t>
        </is>
      </c>
      <c r="D89" s="3" t="inlineStr">
        <is>
          <t>Australia</t>
        </is>
      </c>
      <c r="E89" s="3" t="inlineStr">
        <is>
          <t>Queensland</t>
        </is>
      </c>
      <c r="F89" s="3" t="inlineStr">
        <is>
          <t>Road Bikes</t>
        </is>
      </c>
      <c r="G89" s="3" t="inlineStr">
        <is>
          <t>Yellow</t>
        </is>
      </c>
      <c r="H89" s="3" t="inlineStr">
        <is>
          <t>Road-550-W Yellow, 42</t>
        </is>
      </c>
      <c r="I89" s="4" t="n">
        <v>1</v>
      </c>
      <c r="J89" s="24" t="n">
        <v>500</v>
      </c>
      <c r="K89" s="24" t="n">
        <v>800</v>
      </c>
      <c r="L89" s="25">
        <f>I89*K89</f>
        <v/>
      </c>
      <c r="M89" s="25">
        <f>I89*J89</f>
        <v/>
      </c>
      <c r="N89" s="25">
        <f>L89-M89</f>
        <v/>
      </c>
      <c r="O89" s="26">
        <f>IFERROR(N89/L89,0)</f>
        <v/>
      </c>
      <c r="P89">
        <f>YEAR(A89)</f>
        <v/>
      </c>
      <c r="Q89">
        <f>TEXT(A89,"mmm")</f>
        <v/>
      </c>
      <c r="R89">
        <f>IF(B89&lt;25,"18-24",IF(B89&lt;35,"25-34",IF(B89&lt;45,"35-44","45+")))</f>
        <v/>
      </c>
    </row>
    <row r="90">
      <c r="A90" s="23" t="n">
        <v>44503</v>
      </c>
      <c r="B90" s="3" t="n">
        <v>24</v>
      </c>
      <c r="C90" s="3" t="inlineStr">
        <is>
          <t>F</t>
        </is>
      </c>
      <c r="D90" s="3" t="inlineStr">
        <is>
          <t>Australia</t>
        </is>
      </c>
      <c r="E90" s="3" t="inlineStr">
        <is>
          <t>New South Wales</t>
        </is>
      </c>
      <c r="F90" s="3" t="inlineStr">
        <is>
          <t>Road Bikes</t>
        </is>
      </c>
      <c r="G90" s="3" t="inlineStr">
        <is>
          <t>Black</t>
        </is>
      </c>
      <c r="H90" s="3" t="inlineStr">
        <is>
          <t>Road-250 Black, 52</t>
        </is>
      </c>
      <c r="I90" s="4" t="n">
        <v>2</v>
      </c>
      <c r="J90" s="24" t="n">
        <v>580</v>
      </c>
      <c r="K90" s="24" t="n">
        <v>920</v>
      </c>
      <c r="L90" s="25">
        <f>I90*K90</f>
        <v/>
      </c>
      <c r="M90" s="25">
        <f>I90*J90</f>
        <v/>
      </c>
      <c r="N90" s="25">
        <f>L90-M90</f>
        <v/>
      </c>
      <c r="O90" s="26">
        <f>IFERROR(N90/L90,0)</f>
        <v/>
      </c>
      <c r="P90">
        <f>YEAR(A90)</f>
        <v/>
      </c>
      <c r="Q90">
        <f>TEXT(A90,"mmm")</f>
        <v/>
      </c>
      <c r="R90">
        <f>IF(B90&lt;25,"18-24",IF(B90&lt;35,"25-34",IF(B90&lt;45,"35-44","45+")))</f>
        <v/>
      </c>
    </row>
    <row r="91">
      <c r="A91" s="23" t="n">
        <v>44505</v>
      </c>
      <c r="B91" s="3" t="n">
        <v>24</v>
      </c>
      <c r="C91" s="3" t="inlineStr">
        <is>
          <t>F</t>
        </is>
      </c>
      <c r="D91" s="3" t="inlineStr">
        <is>
          <t>Germany</t>
        </is>
      </c>
      <c r="E91" s="3" t="inlineStr">
        <is>
          <t>Nordrhein-Westfalen</t>
        </is>
      </c>
      <c r="F91" s="3" t="inlineStr">
        <is>
          <t>Road Bikes</t>
        </is>
      </c>
      <c r="G91" s="3" t="inlineStr">
        <is>
          <t>Yellow</t>
        </is>
      </c>
      <c r="H91" s="3" t="inlineStr">
        <is>
          <t>Road-550-W Yellow, 42</t>
        </is>
      </c>
      <c r="I91" s="4" t="n">
        <v>2</v>
      </c>
      <c r="J91" s="24" t="n">
        <v>500</v>
      </c>
      <c r="K91" s="24" t="n">
        <v>800</v>
      </c>
      <c r="L91" s="25">
        <f>I91*K91</f>
        <v/>
      </c>
      <c r="M91" s="25">
        <f>I91*J91</f>
        <v/>
      </c>
      <c r="N91" s="25">
        <f>L91-M91</f>
        <v/>
      </c>
      <c r="O91" s="26">
        <f>IFERROR(N91/L91,0)</f>
        <v/>
      </c>
      <c r="P91">
        <f>YEAR(A91)</f>
        <v/>
      </c>
      <c r="Q91">
        <f>TEXT(A91,"mmm")</f>
        <v/>
      </c>
      <c r="R91">
        <f>IF(B91&lt;25,"18-24",IF(B91&lt;35,"25-34",IF(B91&lt;45,"35-44","45+")))</f>
        <v/>
      </c>
    </row>
    <row r="92">
      <c r="A92" s="23" t="n">
        <v>44506</v>
      </c>
      <c r="B92" s="3" t="n">
        <v>24</v>
      </c>
      <c r="C92" s="3" t="inlineStr">
        <is>
          <t>F</t>
        </is>
      </c>
      <c r="D92" s="3" t="inlineStr">
        <is>
          <t>France</t>
        </is>
      </c>
      <c r="E92" s="3" t="inlineStr">
        <is>
          <t>Seine et Marne</t>
        </is>
      </c>
      <c r="F92" s="3" t="inlineStr">
        <is>
          <t>Road Bikes</t>
        </is>
      </c>
      <c r="G92" s="3" t="inlineStr">
        <is>
          <t>Red</t>
        </is>
      </c>
      <c r="H92" s="3" t="inlineStr">
        <is>
          <t>Road-250 Red, 58</t>
        </is>
      </c>
      <c r="I92" s="4" t="n">
        <v>3</v>
      </c>
      <c r="J92" s="24" t="n">
        <v>580</v>
      </c>
      <c r="K92" s="24" t="n">
        <v>920</v>
      </c>
      <c r="L92" s="25">
        <f>I92*K92</f>
        <v/>
      </c>
      <c r="M92" s="25">
        <f>I92*J92</f>
        <v/>
      </c>
      <c r="N92" s="25">
        <f>L92-M92</f>
        <v/>
      </c>
      <c r="O92" s="26">
        <f>IFERROR(N92/L92,0)</f>
        <v/>
      </c>
      <c r="P92">
        <f>YEAR(A92)</f>
        <v/>
      </c>
      <c r="Q92">
        <f>TEXT(A92,"mmm")</f>
        <v/>
      </c>
      <c r="R92">
        <f>IF(B92&lt;25,"18-24",IF(B92&lt;35,"25-34",IF(B92&lt;45,"35-44","45+")))</f>
        <v/>
      </c>
    </row>
    <row r="93">
      <c r="A93" s="23" t="n">
        <v>44506</v>
      </c>
      <c r="B93" s="3" t="n">
        <v>24</v>
      </c>
      <c r="C93" s="3" t="inlineStr">
        <is>
          <t>F</t>
        </is>
      </c>
      <c r="D93" s="3" t="inlineStr">
        <is>
          <t>Australia</t>
        </is>
      </c>
      <c r="E93" s="3" t="inlineStr">
        <is>
          <t>Victoria</t>
        </is>
      </c>
      <c r="F93" s="3" t="inlineStr">
        <is>
          <t>Road Bikes</t>
        </is>
      </c>
      <c r="G93" s="3" t="inlineStr">
        <is>
          <t>Yellow</t>
        </is>
      </c>
      <c r="H93" s="3" t="inlineStr">
        <is>
          <t>Road-550-W Yellow, 40</t>
        </is>
      </c>
      <c r="I93" s="4" t="n">
        <v>1</v>
      </c>
      <c r="J93" s="24" t="n">
        <v>500</v>
      </c>
      <c r="K93" s="24" t="n">
        <v>800</v>
      </c>
      <c r="L93" s="25">
        <f>I93*K93</f>
        <v/>
      </c>
      <c r="M93" s="25">
        <f>I93*J93</f>
        <v/>
      </c>
      <c r="N93" s="25">
        <f>L93-M93</f>
        <v/>
      </c>
      <c r="O93" s="26">
        <f>IFERROR(N93/L93,0)</f>
        <v/>
      </c>
      <c r="P93">
        <f>YEAR(A93)</f>
        <v/>
      </c>
      <c r="Q93">
        <f>TEXT(A93,"mmm")</f>
        <v/>
      </c>
      <c r="R93">
        <f>IF(B93&lt;25,"18-24",IF(B93&lt;35,"25-34",IF(B93&lt;45,"35-44","45+")))</f>
        <v/>
      </c>
    </row>
    <row r="94">
      <c r="A94" s="23" t="n">
        <v>44511</v>
      </c>
      <c r="B94" s="3" t="n">
        <v>24</v>
      </c>
      <c r="C94" s="3" t="inlineStr">
        <is>
          <t>F</t>
        </is>
      </c>
      <c r="D94" s="3" t="inlineStr">
        <is>
          <t>Australia</t>
        </is>
      </c>
      <c r="E94" s="3" t="inlineStr">
        <is>
          <t>Queensland</t>
        </is>
      </c>
      <c r="F94" s="3" t="inlineStr">
        <is>
          <t>Road Bikes</t>
        </is>
      </c>
      <c r="G94" s="3" t="inlineStr">
        <is>
          <t>Yellow</t>
        </is>
      </c>
      <c r="H94" s="3" t="inlineStr">
        <is>
          <t>Road-550-W Yellow, 42</t>
        </is>
      </c>
      <c r="I94" s="4" t="n">
        <v>1</v>
      </c>
      <c r="J94" s="24" t="n">
        <v>500</v>
      </c>
      <c r="K94" s="24" t="n">
        <v>800</v>
      </c>
      <c r="L94" s="25">
        <f>I94*K94</f>
        <v/>
      </c>
      <c r="M94" s="25">
        <f>I94*J94</f>
        <v/>
      </c>
      <c r="N94" s="25">
        <f>L94-M94</f>
        <v/>
      </c>
      <c r="O94" s="26">
        <f>IFERROR(N94/L94,0)</f>
        <v/>
      </c>
      <c r="P94">
        <f>YEAR(A94)</f>
        <v/>
      </c>
      <c r="Q94">
        <f>TEXT(A94,"mmm")</f>
        <v/>
      </c>
      <c r="R94">
        <f>IF(B94&lt;25,"18-24",IF(B94&lt;35,"25-34",IF(B94&lt;45,"35-44","45+")))</f>
        <v/>
      </c>
    </row>
    <row r="95">
      <c r="A95" s="23" t="n">
        <v>44512</v>
      </c>
      <c r="B95" s="3" t="n">
        <v>24</v>
      </c>
      <c r="C95" s="3" t="inlineStr">
        <is>
          <t>F</t>
        </is>
      </c>
      <c r="D95" s="3" t="inlineStr">
        <is>
          <t>Australia</t>
        </is>
      </c>
      <c r="E95" s="3" t="inlineStr">
        <is>
          <t>New South Wales</t>
        </is>
      </c>
      <c r="F95" s="3" t="inlineStr">
        <is>
          <t>Road Bikes</t>
        </is>
      </c>
      <c r="G95" s="3" t="inlineStr">
        <is>
          <t>Black</t>
        </is>
      </c>
      <c r="H95" s="3" t="inlineStr">
        <is>
          <t>Road-250 Black, 52</t>
        </is>
      </c>
      <c r="I95" s="4" t="n">
        <v>4</v>
      </c>
      <c r="J95" s="24" t="n">
        <v>580</v>
      </c>
      <c r="K95" s="24" t="n">
        <v>920</v>
      </c>
      <c r="L95" s="25">
        <f>I95*K95</f>
        <v/>
      </c>
      <c r="M95" s="25">
        <f>I95*J95</f>
        <v/>
      </c>
      <c r="N95" s="25">
        <f>L95-M95</f>
        <v/>
      </c>
      <c r="O95" s="26">
        <f>IFERROR(N95/L95,0)</f>
        <v/>
      </c>
      <c r="P95">
        <f>YEAR(A95)</f>
        <v/>
      </c>
      <c r="Q95">
        <f>TEXT(A95,"mmm")</f>
        <v/>
      </c>
      <c r="R95">
        <f>IF(B95&lt;25,"18-24",IF(B95&lt;35,"25-34",IF(B95&lt;45,"35-44","45+")))</f>
        <v/>
      </c>
    </row>
    <row r="96">
      <c r="A96" s="23" t="n">
        <v>44512</v>
      </c>
      <c r="B96" s="3" t="n">
        <v>24</v>
      </c>
      <c r="C96" s="3" t="inlineStr">
        <is>
          <t>F</t>
        </is>
      </c>
      <c r="D96" s="3" t="inlineStr">
        <is>
          <t>Australia</t>
        </is>
      </c>
      <c r="E96" s="3" t="inlineStr">
        <is>
          <t>Queensland</t>
        </is>
      </c>
      <c r="F96" s="3" t="inlineStr">
        <is>
          <t>Road Bikes</t>
        </is>
      </c>
      <c r="G96" s="3" t="inlineStr">
        <is>
          <t>Yellow</t>
        </is>
      </c>
      <c r="H96" s="3" t="inlineStr">
        <is>
          <t>Road-550-W Yellow, 42</t>
        </is>
      </c>
      <c r="I96" s="4" t="n">
        <v>4</v>
      </c>
      <c r="J96" s="24" t="n">
        <v>500</v>
      </c>
      <c r="K96" s="24" t="n">
        <v>800</v>
      </c>
      <c r="L96" s="25">
        <f>I96*K96</f>
        <v/>
      </c>
      <c r="M96" s="25">
        <f>I96*J96</f>
        <v/>
      </c>
      <c r="N96" s="25">
        <f>L96-M96</f>
        <v/>
      </c>
      <c r="O96" s="26">
        <f>IFERROR(N96/L96,0)</f>
        <v/>
      </c>
      <c r="P96">
        <f>YEAR(A96)</f>
        <v/>
      </c>
      <c r="Q96">
        <f>TEXT(A96,"mmm")</f>
        <v/>
      </c>
      <c r="R96">
        <f>IF(B96&lt;25,"18-24",IF(B96&lt;35,"25-34",IF(B96&lt;45,"35-44","45+")))</f>
        <v/>
      </c>
    </row>
    <row r="97">
      <c r="A97" s="23" t="n">
        <v>44513</v>
      </c>
      <c r="B97" s="3" t="n">
        <v>24</v>
      </c>
      <c r="C97" s="3" t="inlineStr">
        <is>
          <t>M</t>
        </is>
      </c>
      <c r="D97" s="3" t="inlineStr">
        <is>
          <t>Germany</t>
        </is>
      </c>
      <c r="E97" s="3" t="inlineStr">
        <is>
          <t>Hessen</t>
        </is>
      </c>
      <c r="F97" s="3" t="inlineStr">
        <is>
          <t>Road Bikes</t>
        </is>
      </c>
      <c r="G97" s="3" t="inlineStr">
        <is>
          <t>Yellow</t>
        </is>
      </c>
      <c r="H97" s="3" t="inlineStr">
        <is>
          <t>Road-550-W Yellow, 42</t>
        </is>
      </c>
      <c r="I97" s="4" t="n">
        <v>1</v>
      </c>
      <c r="J97" s="24" t="n">
        <v>500</v>
      </c>
      <c r="K97" s="24" t="n">
        <v>800</v>
      </c>
      <c r="L97" s="25">
        <f>I97*K97</f>
        <v/>
      </c>
      <c r="M97" s="25">
        <f>I97*J97</f>
        <v/>
      </c>
      <c r="N97" s="25">
        <f>L97-M97</f>
        <v/>
      </c>
      <c r="O97" s="26">
        <f>IFERROR(N97/L97,0)</f>
        <v/>
      </c>
      <c r="P97">
        <f>YEAR(A97)</f>
        <v/>
      </c>
      <c r="Q97">
        <f>TEXT(A97,"mmm")</f>
        <v/>
      </c>
      <c r="R97">
        <f>IF(B97&lt;25,"18-24",IF(B97&lt;35,"25-34",IF(B97&lt;45,"35-44","45+")))</f>
        <v/>
      </c>
    </row>
    <row r="98">
      <c r="A98" s="23" t="n">
        <v>44523</v>
      </c>
      <c r="B98" s="3" t="n">
        <v>24</v>
      </c>
      <c r="C98" s="3" t="inlineStr">
        <is>
          <t>F</t>
        </is>
      </c>
      <c r="D98" s="3" t="inlineStr">
        <is>
          <t>United States</t>
        </is>
      </c>
      <c r="E98" s="3" t="inlineStr">
        <is>
          <t>Washington</t>
        </is>
      </c>
      <c r="F98" s="3" t="inlineStr">
        <is>
          <t>Mountain Bikes</t>
        </is>
      </c>
      <c r="G98" s="3" t="inlineStr">
        <is>
          <t>Black</t>
        </is>
      </c>
      <c r="H98" s="3" t="inlineStr">
        <is>
          <t>Mountain-200 Black, 46</t>
        </is>
      </c>
      <c r="I98" s="4" t="n">
        <v>1</v>
      </c>
      <c r="J98" s="24" t="n">
        <v>550</v>
      </c>
      <c r="K98" s="24" t="n">
        <v>850</v>
      </c>
      <c r="L98" s="25">
        <f>I98*K98</f>
        <v/>
      </c>
      <c r="M98" s="25">
        <f>I98*J98</f>
        <v/>
      </c>
      <c r="N98" s="25">
        <f>L98-M98</f>
        <v/>
      </c>
      <c r="O98" s="26">
        <f>IFERROR(N98/L98,0)</f>
        <v/>
      </c>
      <c r="P98">
        <f>YEAR(A98)</f>
        <v/>
      </c>
      <c r="Q98">
        <f>TEXT(A98,"mmm")</f>
        <v/>
      </c>
      <c r="R98">
        <f>IF(B98&lt;25,"18-24",IF(B98&lt;35,"25-34",IF(B98&lt;45,"35-44","45+")))</f>
        <v/>
      </c>
    </row>
    <row r="99">
      <c r="A99" s="23" t="n">
        <v>44527</v>
      </c>
      <c r="B99" s="3" t="n">
        <v>24</v>
      </c>
      <c r="C99" s="3" t="inlineStr">
        <is>
          <t>F</t>
        </is>
      </c>
      <c r="D99" s="3" t="inlineStr">
        <is>
          <t>Australia</t>
        </is>
      </c>
      <c r="E99" s="3" t="inlineStr">
        <is>
          <t>Victoria</t>
        </is>
      </c>
      <c r="F99" s="3" t="inlineStr">
        <is>
          <t>Road Bikes</t>
        </is>
      </c>
      <c r="G99" s="3" t="inlineStr">
        <is>
          <t>Yellow</t>
        </is>
      </c>
      <c r="H99" s="3" t="inlineStr">
        <is>
          <t>Road-550-W Yellow, 40</t>
        </is>
      </c>
      <c r="I99" s="4" t="n">
        <v>2</v>
      </c>
      <c r="J99" s="24" t="n">
        <v>500</v>
      </c>
      <c r="K99" s="24" t="n">
        <v>800</v>
      </c>
      <c r="L99" s="25">
        <f>I99*K99</f>
        <v/>
      </c>
      <c r="M99" s="25">
        <f>I99*J99</f>
        <v/>
      </c>
      <c r="N99" s="25">
        <f>L99-M99</f>
        <v/>
      </c>
      <c r="O99" s="26">
        <f>IFERROR(N99/L99,0)</f>
        <v/>
      </c>
      <c r="P99">
        <f>YEAR(A99)</f>
        <v/>
      </c>
      <c r="Q99">
        <f>TEXT(A99,"mmm")</f>
        <v/>
      </c>
      <c r="R99">
        <f>IF(B99&lt;25,"18-24",IF(B99&lt;35,"25-34",IF(B99&lt;45,"35-44","45+")))</f>
        <v/>
      </c>
    </row>
    <row r="100">
      <c r="A100" s="23" t="n">
        <v>44527</v>
      </c>
      <c r="B100" s="3" t="n">
        <v>24</v>
      </c>
      <c r="C100" s="3" t="inlineStr">
        <is>
          <t>F</t>
        </is>
      </c>
      <c r="D100" s="3" t="inlineStr">
        <is>
          <t>Australia</t>
        </is>
      </c>
      <c r="E100" s="3" t="inlineStr">
        <is>
          <t>Queensland</t>
        </is>
      </c>
      <c r="F100" s="3" t="inlineStr">
        <is>
          <t>Road Bikes</t>
        </is>
      </c>
      <c r="G100" s="3" t="inlineStr">
        <is>
          <t>Yellow</t>
        </is>
      </c>
      <c r="H100" s="3" t="inlineStr">
        <is>
          <t>Road-550-W Yellow, 42</t>
        </is>
      </c>
      <c r="I100" s="4" t="n">
        <v>1</v>
      </c>
      <c r="J100" s="24" t="n">
        <v>500</v>
      </c>
      <c r="K100" s="24" t="n">
        <v>800</v>
      </c>
      <c r="L100" s="25">
        <f>I100*K100</f>
        <v/>
      </c>
      <c r="M100" s="25">
        <f>I100*J100</f>
        <v/>
      </c>
      <c r="N100" s="25">
        <f>L100-M100</f>
        <v/>
      </c>
      <c r="O100" s="26">
        <f>IFERROR(N100/L100,0)</f>
        <v/>
      </c>
      <c r="P100">
        <f>YEAR(A100)</f>
        <v/>
      </c>
      <c r="Q100">
        <f>TEXT(A100,"mmm")</f>
        <v/>
      </c>
      <c r="R100">
        <f>IF(B100&lt;25,"18-24",IF(B100&lt;35,"25-34",IF(B100&lt;45,"35-44","45+")))</f>
        <v/>
      </c>
    </row>
    <row r="101">
      <c r="A101" s="23" t="n">
        <v>44529</v>
      </c>
      <c r="B101" s="3" t="n">
        <v>24</v>
      </c>
      <c r="C101" s="3" t="inlineStr">
        <is>
          <t>F</t>
        </is>
      </c>
      <c r="D101" s="3" t="inlineStr">
        <is>
          <t>Australia</t>
        </is>
      </c>
      <c r="E101" s="3" t="inlineStr">
        <is>
          <t>Tasmania</t>
        </is>
      </c>
      <c r="F101" s="3" t="inlineStr">
        <is>
          <t>Road Bikes</t>
        </is>
      </c>
      <c r="G101" s="3" t="inlineStr">
        <is>
          <t>Yellow</t>
        </is>
      </c>
      <c r="H101" s="3" t="inlineStr">
        <is>
          <t>Road-550-W Yellow, 48</t>
        </is>
      </c>
      <c r="I101" s="4" t="n">
        <v>3</v>
      </c>
      <c r="J101" s="24" t="n">
        <v>500</v>
      </c>
      <c r="K101" s="24" t="n">
        <v>800</v>
      </c>
      <c r="L101" s="25">
        <f>I101*K101</f>
        <v/>
      </c>
      <c r="M101" s="25">
        <f>I101*J101</f>
        <v/>
      </c>
      <c r="N101" s="25">
        <f>L101-M101</f>
        <v/>
      </c>
      <c r="O101" s="26">
        <f>IFERROR(N101/L101,0)</f>
        <v/>
      </c>
      <c r="P101">
        <f>YEAR(A101)</f>
        <v/>
      </c>
      <c r="Q101">
        <f>TEXT(A101,"mmm")</f>
        <v/>
      </c>
      <c r="R101">
        <f>IF(B101&lt;25,"18-24",IF(B101&lt;35,"25-34",IF(B101&lt;45,"35-44","45+")))</f>
        <v/>
      </c>
    </row>
    <row r="102">
      <c r="A102" s="23" t="n">
        <v>44533</v>
      </c>
      <c r="B102" s="3" t="n">
        <v>24</v>
      </c>
      <c r="C102" s="3" t="inlineStr">
        <is>
          <t>M</t>
        </is>
      </c>
      <c r="D102" s="3" t="inlineStr">
        <is>
          <t>Germany</t>
        </is>
      </c>
      <c r="E102" s="3" t="inlineStr">
        <is>
          <t>Hamburg</t>
        </is>
      </c>
      <c r="F102" s="3" t="inlineStr">
        <is>
          <t>Road Bikes</t>
        </is>
      </c>
      <c r="G102" s="3" t="inlineStr">
        <is>
          <t>Black</t>
        </is>
      </c>
      <c r="H102" s="3" t="inlineStr">
        <is>
          <t>Road-250 Black, 44</t>
        </is>
      </c>
      <c r="I102" s="4" t="n">
        <v>2</v>
      </c>
      <c r="J102" s="24" t="n">
        <v>580</v>
      </c>
      <c r="K102" s="24" t="n">
        <v>920</v>
      </c>
      <c r="L102" s="25">
        <f>I102*K102</f>
        <v/>
      </c>
      <c r="M102" s="25">
        <f>I102*J102</f>
        <v/>
      </c>
      <c r="N102" s="25">
        <f>L102-M102</f>
        <v/>
      </c>
      <c r="O102" s="26">
        <f>IFERROR(N102/L102,0)</f>
        <v/>
      </c>
      <c r="P102">
        <f>YEAR(A102)</f>
        <v/>
      </c>
      <c r="Q102">
        <f>TEXT(A102,"mmm")</f>
        <v/>
      </c>
      <c r="R102">
        <f>IF(B102&lt;25,"18-24",IF(B102&lt;35,"25-34",IF(B102&lt;45,"35-44","45+")))</f>
        <v/>
      </c>
    </row>
    <row r="103">
      <c r="A103" s="23" t="n">
        <v>44533</v>
      </c>
      <c r="B103" s="3" t="n">
        <v>24</v>
      </c>
      <c r="C103" s="3" t="inlineStr">
        <is>
          <t>F</t>
        </is>
      </c>
      <c r="D103" s="3" t="inlineStr">
        <is>
          <t>United Kingdom</t>
        </is>
      </c>
      <c r="E103" s="3" t="inlineStr">
        <is>
          <t>England</t>
        </is>
      </c>
      <c r="F103" s="3" t="inlineStr">
        <is>
          <t>Mountain Bikes</t>
        </is>
      </c>
      <c r="G103" s="3" t="inlineStr">
        <is>
          <t>Black</t>
        </is>
      </c>
      <c r="H103" s="3" t="inlineStr">
        <is>
          <t>Mountain-200 Black, 38</t>
        </is>
      </c>
      <c r="I103" s="4" t="n">
        <v>1</v>
      </c>
      <c r="J103" s="24" t="n">
        <v>550</v>
      </c>
      <c r="K103" s="24" t="n">
        <v>850</v>
      </c>
      <c r="L103" s="25">
        <f>I103*K103</f>
        <v/>
      </c>
      <c r="M103" s="25">
        <f>I103*J103</f>
        <v/>
      </c>
      <c r="N103" s="25">
        <f>L103-M103</f>
        <v/>
      </c>
      <c r="O103" s="26">
        <f>IFERROR(N103/L103,0)</f>
        <v/>
      </c>
      <c r="P103">
        <f>YEAR(A103)</f>
        <v/>
      </c>
      <c r="Q103">
        <f>TEXT(A103,"mmm")</f>
        <v/>
      </c>
      <c r="R103">
        <f>IF(B103&lt;25,"18-24",IF(B103&lt;35,"25-34",IF(B103&lt;45,"35-44","45+")))</f>
        <v/>
      </c>
    </row>
    <row r="104">
      <c r="A104" s="23" t="n">
        <v>44541</v>
      </c>
      <c r="B104" s="3" t="n">
        <v>24</v>
      </c>
      <c r="C104" s="3" t="inlineStr">
        <is>
          <t>M</t>
        </is>
      </c>
      <c r="D104" s="3" t="inlineStr">
        <is>
          <t>France</t>
        </is>
      </c>
      <c r="E104" s="3" t="inlineStr">
        <is>
          <t>Seine Saint Denis</t>
        </is>
      </c>
      <c r="F104" s="3" t="inlineStr">
        <is>
          <t>Road Bikes</t>
        </is>
      </c>
      <c r="G104" s="3" t="inlineStr">
        <is>
          <t>Black</t>
        </is>
      </c>
      <c r="H104" s="3" t="inlineStr">
        <is>
          <t>Road-250 Black, 52</t>
        </is>
      </c>
      <c r="I104" s="4" t="n">
        <v>4</v>
      </c>
      <c r="J104" s="24" t="n">
        <v>580</v>
      </c>
      <c r="K104" s="24" t="n">
        <v>920</v>
      </c>
      <c r="L104" s="25">
        <f>I104*K104</f>
        <v/>
      </c>
      <c r="M104" s="25">
        <f>I104*J104</f>
        <v/>
      </c>
      <c r="N104" s="25">
        <f>L104-M104</f>
        <v/>
      </c>
      <c r="O104" s="26">
        <f>IFERROR(N104/L104,0)</f>
        <v/>
      </c>
      <c r="P104">
        <f>YEAR(A104)</f>
        <v/>
      </c>
      <c r="Q104">
        <f>TEXT(A104,"mmm")</f>
        <v/>
      </c>
      <c r="R104">
        <f>IF(B104&lt;25,"18-24",IF(B104&lt;35,"25-34",IF(B104&lt;45,"35-44","45+")))</f>
        <v/>
      </c>
    </row>
    <row r="105">
      <c r="A105" s="23" t="n">
        <v>44541</v>
      </c>
      <c r="B105" s="3" t="n">
        <v>24</v>
      </c>
      <c r="C105" s="3" t="inlineStr">
        <is>
          <t>F</t>
        </is>
      </c>
      <c r="D105" s="3" t="inlineStr">
        <is>
          <t>France</t>
        </is>
      </c>
      <c r="E105" s="3" t="inlineStr">
        <is>
          <t>Seine (Paris)</t>
        </is>
      </c>
      <c r="F105" s="3" t="inlineStr">
        <is>
          <t>Mountain Bikes</t>
        </is>
      </c>
      <c r="G105" s="3" t="inlineStr">
        <is>
          <t>Black</t>
        </is>
      </c>
      <c r="H105" s="3" t="inlineStr">
        <is>
          <t>Mountain-200 Black, 38</t>
        </is>
      </c>
      <c r="I105" s="4" t="n">
        <v>3</v>
      </c>
      <c r="J105" s="24" t="n">
        <v>550</v>
      </c>
      <c r="K105" s="24" t="n">
        <v>850</v>
      </c>
      <c r="L105" s="25">
        <f>I105*K105</f>
        <v/>
      </c>
      <c r="M105" s="25">
        <f>I105*J105</f>
        <v/>
      </c>
      <c r="N105" s="25">
        <f>L105-M105</f>
        <v/>
      </c>
      <c r="O105" s="26">
        <f>IFERROR(N105/L105,0)</f>
        <v/>
      </c>
      <c r="P105">
        <f>YEAR(A105)</f>
        <v/>
      </c>
      <c r="Q105">
        <f>TEXT(A105,"mmm")</f>
        <v/>
      </c>
      <c r="R105">
        <f>IF(B105&lt;25,"18-24",IF(B105&lt;35,"25-34",IF(B105&lt;45,"35-44","45+")))</f>
        <v/>
      </c>
    </row>
    <row r="106">
      <c r="A106" s="23" t="n">
        <v>44548</v>
      </c>
      <c r="B106" s="3" t="n">
        <v>24</v>
      </c>
      <c r="C106" s="3" t="inlineStr">
        <is>
          <t>F</t>
        </is>
      </c>
      <c r="D106" s="3" t="inlineStr">
        <is>
          <t>France</t>
        </is>
      </c>
      <c r="E106" s="3" t="inlineStr">
        <is>
          <t>Seine Saint Denis</t>
        </is>
      </c>
      <c r="F106" s="3" t="inlineStr">
        <is>
          <t>Mountain Bikes</t>
        </is>
      </c>
      <c r="G106" s="3" t="inlineStr">
        <is>
          <t>Silver</t>
        </is>
      </c>
      <c r="H106" s="3" t="inlineStr">
        <is>
          <t>Mountain-200 Silver, 38</t>
        </is>
      </c>
      <c r="I106" s="4" t="n">
        <v>3</v>
      </c>
      <c r="J106" s="24" t="n">
        <v>550</v>
      </c>
      <c r="K106" s="24" t="n">
        <v>850</v>
      </c>
      <c r="L106" s="25">
        <f>I106*K106</f>
        <v/>
      </c>
      <c r="M106" s="25">
        <f>I106*J106</f>
        <v/>
      </c>
      <c r="N106" s="25">
        <f>L106-M106</f>
        <v/>
      </c>
      <c r="O106" s="26">
        <f>IFERROR(N106/L106,0)</f>
        <v/>
      </c>
      <c r="P106">
        <f>YEAR(A106)</f>
        <v/>
      </c>
      <c r="Q106">
        <f>TEXT(A106,"mmm")</f>
        <v/>
      </c>
      <c r="R106">
        <f>IF(B106&lt;25,"18-24",IF(B106&lt;35,"25-34",IF(B106&lt;45,"35-44","45+")))</f>
        <v/>
      </c>
    </row>
    <row r="107">
      <c r="A107" s="23" t="n">
        <v>44549</v>
      </c>
      <c r="B107" s="3" t="n">
        <v>24</v>
      </c>
      <c r="C107" s="3" t="inlineStr">
        <is>
          <t>F</t>
        </is>
      </c>
      <c r="D107" s="3" t="inlineStr">
        <is>
          <t>France</t>
        </is>
      </c>
      <c r="E107" s="3" t="inlineStr">
        <is>
          <t>Garonne (Haute)</t>
        </is>
      </c>
      <c r="F107" s="3" t="inlineStr">
        <is>
          <t>Road Bikes</t>
        </is>
      </c>
      <c r="G107" s="3" t="inlineStr">
        <is>
          <t>Red</t>
        </is>
      </c>
      <c r="H107" s="3" t="inlineStr">
        <is>
          <t>Road-250 Red, 44</t>
        </is>
      </c>
      <c r="I107" s="4" t="n">
        <v>4</v>
      </c>
      <c r="J107" s="24" t="n">
        <v>580</v>
      </c>
      <c r="K107" s="24" t="n">
        <v>920</v>
      </c>
      <c r="L107" s="25">
        <f>I107*K107</f>
        <v/>
      </c>
      <c r="M107" s="25">
        <f>I107*J107</f>
        <v/>
      </c>
      <c r="N107" s="25">
        <f>L107-M107</f>
        <v/>
      </c>
      <c r="O107" s="26">
        <f>IFERROR(N107/L107,0)</f>
        <v/>
      </c>
      <c r="P107">
        <f>YEAR(A107)</f>
        <v/>
      </c>
      <c r="Q107">
        <f>TEXT(A107,"mmm")</f>
        <v/>
      </c>
      <c r="R107">
        <f>IF(B107&lt;25,"18-24",IF(B107&lt;35,"25-34",IF(B107&lt;45,"35-44","45+")))</f>
        <v/>
      </c>
    </row>
    <row r="108">
      <c r="A108" s="23" t="n">
        <v>44554</v>
      </c>
      <c r="B108" s="3" t="n">
        <v>24</v>
      </c>
      <c r="C108" s="3" t="inlineStr">
        <is>
          <t>M</t>
        </is>
      </c>
      <c r="D108" s="3" t="inlineStr">
        <is>
          <t>United Kingdom</t>
        </is>
      </c>
      <c r="E108" s="3" t="inlineStr">
        <is>
          <t>England</t>
        </is>
      </c>
      <c r="F108" s="3" t="inlineStr">
        <is>
          <t>Road Bikes</t>
        </is>
      </c>
      <c r="G108" s="3" t="inlineStr">
        <is>
          <t>Black</t>
        </is>
      </c>
      <c r="H108" s="3" t="inlineStr">
        <is>
          <t>Road-750 Black, 44</t>
        </is>
      </c>
      <c r="I108" s="4" t="n">
        <v>1</v>
      </c>
      <c r="J108" s="24" t="n">
        <v>700</v>
      </c>
      <c r="K108" s="24" t="n">
        <v>1100</v>
      </c>
      <c r="L108" s="25">
        <f>I108*K108</f>
        <v/>
      </c>
      <c r="M108" s="25">
        <f>I108*J108</f>
        <v/>
      </c>
      <c r="N108" s="25">
        <f>L108-M108</f>
        <v/>
      </c>
      <c r="O108" s="26">
        <f>IFERROR(N108/L108,0)</f>
        <v/>
      </c>
      <c r="P108">
        <f>YEAR(A108)</f>
        <v/>
      </c>
      <c r="Q108">
        <f>TEXT(A108,"mmm")</f>
        <v/>
      </c>
      <c r="R108">
        <f>IF(B108&lt;25,"18-24",IF(B108&lt;35,"25-34",IF(B108&lt;45,"35-44","45+")))</f>
        <v/>
      </c>
    </row>
    <row r="109">
      <c r="A109" s="23" t="n">
        <v>44556</v>
      </c>
      <c r="B109" s="3" t="n">
        <v>24</v>
      </c>
      <c r="C109" s="3" t="inlineStr">
        <is>
          <t>M</t>
        </is>
      </c>
      <c r="D109" s="3" t="inlineStr">
        <is>
          <t>Canada</t>
        </is>
      </c>
      <c r="E109" s="3" t="inlineStr">
        <is>
          <t>British Columbia</t>
        </is>
      </c>
      <c r="F109" s="3" t="inlineStr">
        <is>
          <t>Road Bikes</t>
        </is>
      </c>
      <c r="G109" s="3" t="inlineStr">
        <is>
          <t>Yellow</t>
        </is>
      </c>
      <c r="H109" s="3" t="inlineStr">
        <is>
          <t>Road-350-W Yellow, 48</t>
        </is>
      </c>
      <c r="I109" s="4" t="n">
        <v>1</v>
      </c>
      <c r="J109" s="24" t="n">
        <v>530</v>
      </c>
      <c r="K109" s="24" t="n">
        <v>840</v>
      </c>
      <c r="L109" s="25">
        <f>I109*K109</f>
        <v/>
      </c>
      <c r="M109" s="25">
        <f>I109*J109</f>
        <v/>
      </c>
      <c r="N109" s="25">
        <f>L109-M109</f>
        <v/>
      </c>
      <c r="O109" s="26">
        <f>IFERROR(N109/L109,0)</f>
        <v/>
      </c>
      <c r="P109">
        <f>YEAR(A109)</f>
        <v/>
      </c>
      <c r="Q109">
        <f>TEXT(A109,"mmm")</f>
        <v/>
      </c>
      <c r="R109">
        <f>IF(B109&lt;25,"18-24",IF(B109&lt;35,"25-34",IF(B109&lt;45,"35-44","45+")))</f>
        <v/>
      </c>
    </row>
    <row r="110">
      <c r="A110" s="23" t="n">
        <v>44559</v>
      </c>
      <c r="B110" s="3" t="n">
        <v>24</v>
      </c>
      <c r="C110" s="3" t="inlineStr">
        <is>
          <t>F</t>
        </is>
      </c>
      <c r="D110" s="3" t="inlineStr">
        <is>
          <t>France</t>
        </is>
      </c>
      <c r="E110" s="3" t="inlineStr">
        <is>
          <t>Pas de Calais</t>
        </is>
      </c>
      <c r="F110" s="3" t="inlineStr">
        <is>
          <t>Road Bikes</t>
        </is>
      </c>
      <c r="G110" s="3" t="inlineStr">
        <is>
          <t>Red</t>
        </is>
      </c>
      <c r="H110" s="3" t="inlineStr">
        <is>
          <t>Road-250 Red, 52</t>
        </is>
      </c>
      <c r="I110" s="4" t="n">
        <v>4</v>
      </c>
      <c r="J110" s="24" t="n">
        <v>580</v>
      </c>
      <c r="K110" s="24" t="n">
        <v>920</v>
      </c>
      <c r="L110" s="25">
        <f>I110*K110</f>
        <v/>
      </c>
      <c r="M110" s="25">
        <f>I110*J110</f>
        <v/>
      </c>
      <c r="N110" s="25">
        <f>L110-M110</f>
        <v/>
      </c>
      <c r="O110" s="26">
        <f>IFERROR(N110/L110,0)</f>
        <v/>
      </c>
      <c r="P110">
        <f>YEAR(A110)</f>
        <v/>
      </c>
      <c r="Q110">
        <f>TEXT(A110,"mmm")</f>
        <v/>
      </c>
      <c r="R110">
        <f>IF(B110&lt;25,"18-24",IF(B110&lt;35,"25-34",IF(B110&lt;45,"35-44","45+")))</f>
        <v/>
      </c>
    </row>
    <row r="111">
      <c r="A111" s="23" t="n">
        <v>44560</v>
      </c>
      <c r="B111" s="3" t="n">
        <v>24</v>
      </c>
      <c r="C111" s="3" t="inlineStr">
        <is>
          <t>F</t>
        </is>
      </c>
      <c r="D111" s="3" t="inlineStr">
        <is>
          <t>France</t>
        </is>
      </c>
      <c r="E111" s="3" t="inlineStr">
        <is>
          <t>Essonne</t>
        </is>
      </c>
      <c r="F111" s="3" t="inlineStr">
        <is>
          <t>Mountain Bikes</t>
        </is>
      </c>
      <c r="G111" s="3" t="inlineStr">
        <is>
          <t>Black</t>
        </is>
      </c>
      <c r="H111" s="3" t="inlineStr">
        <is>
          <t>Mountain-200 Black, 46</t>
        </is>
      </c>
      <c r="I111" s="4" t="n">
        <v>1</v>
      </c>
      <c r="J111" s="24" t="n">
        <v>550</v>
      </c>
      <c r="K111" s="24" t="n">
        <v>850</v>
      </c>
      <c r="L111" s="25">
        <f>I111*K111</f>
        <v/>
      </c>
      <c r="M111" s="25">
        <f>I111*J111</f>
        <v/>
      </c>
      <c r="N111" s="25">
        <f>L111-M111</f>
        <v/>
      </c>
      <c r="O111" s="26">
        <f>IFERROR(N111/L111,0)</f>
        <v/>
      </c>
      <c r="P111">
        <f>YEAR(A111)</f>
        <v/>
      </c>
      <c r="Q111">
        <f>TEXT(A111,"mmm")</f>
        <v/>
      </c>
      <c r="R111">
        <f>IF(B111&lt;25,"18-24",IF(B111&lt;35,"25-34",IF(B111&lt;45,"35-44","45+")))</f>
        <v/>
      </c>
    </row>
    <row r="112">
      <c r="A112" s="23" t="n">
        <v>44491</v>
      </c>
      <c r="B112" s="3" t="n">
        <v>25</v>
      </c>
      <c r="C112" s="3" t="inlineStr">
        <is>
          <t>F</t>
        </is>
      </c>
      <c r="D112" s="3" t="inlineStr">
        <is>
          <t>Canada</t>
        </is>
      </c>
      <c r="E112" s="3" t="inlineStr">
        <is>
          <t>British Columbia</t>
        </is>
      </c>
      <c r="F112" s="3" t="inlineStr">
        <is>
          <t>Road Bikes</t>
        </is>
      </c>
      <c r="G112" s="3" t="inlineStr">
        <is>
          <t>Red</t>
        </is>
      </c>
      <c r="H112" s="3" t="inlineStr">
        <is>
          <t>Road-250 Red, 52</t>
        </is>
      </c>
      <c r="I112" s="4" t="n">
        <v>1</v>
      </c>
      <c r="J112" s="24" t="n">
        <v>580</v>
      </c>
      <c r="K112" s="24" t="n">
        <v>920</v>
      </c>
      <c r="L112" s="25">
        <f>I112*K112</f>
        <v/>
      </c>
      <c r="M112" s="25">
        <f>I112*J112</f>
        <v/>
      </c>
      <c r="N112" s="25">
        <f>L112-M112</f>
        <v/>
      </c>
      <c r="O112" s="26">
        <f>IFERROR(N112/L112,0)</f>
        <v/>
      </c>
      <c r="P112">
        <f>YEAR(A112)</f>
        <v/>
      </c>
      <c r="Q112">
        <f>TEXT(A112,"mmm")</f>
        <v/>
      </c>
      <c r="R112">
        <f>IF(B112&lt;25,"18-24",IF(B112&lt;35,"25-34",IF(B112&lt;45,"35-44","45+")))</f>
        <v/>
      </c>
    </row>
    <row r="113">
      <c r="A113" s="23" t="n">
        <v>44505</v>
      </c>
      <c r="B113" s="3" t="n">
        <v>25</v>
      </c>
      <c r="C113" s="3" t="inlineStr">
        <is>
          <t>F</t>
        </is>
      </c>
      <c r="D113" s="3" t="inlineStr">
        <is>
          <t>Australia</t>
        </is>
      </c>
      <c r="E113" s="3" t="inlineStr">
        <is>
          <t>New South Wales</t>
        </is>
      </c>
      <c r="F113" s="3" t="inlineStr">
        <is>
          <t>Road Bikes</t>
        </is>
      </c>
      <c r="G113" s="3" t="inlineStr">
        <is>
          <t>Black</t>
        </is>
      </c>
      <c r="H113" s="3" t="inlineStr">
        <is>
          <t>Road-250 Black, 52</t>
        </is>
      </c>
      <c r="I113" s="4" t="n">
        <v>3</v>
      </c>
      <c r="J113" s="24" t="n">
        <v>580</v>
      </c>
      <c r="K113" s="24" t="n">
        <v>920</v>
      </c>
      <c r="L113" s="25">
        <f>I113*K113</f>
        <v/>
      </c>
      <c r="M113" s="25">
        <f>I113*J113</f>
        <v/>
      </c>
      <c r="N113" s="25">
        <f>L113-M113</f>
        <v/>
      </c>
      <c r="O113" s="26">
        <f>IFERROR(N113/L113,0)</f>
        <v/>
      </c>
      <c r="P113">
        <f>YEAR(A113)</f>
        <v/>
      </c>
      <c r="Q113">
        <f>TEXT(A113,"mmm")</f>
        <v/>
      </c>
      <c r="R113">
        <f>IF(B113&lt;25,"18-24",IF(B113&lt;35,"25-34",IF(B113&lt;45,"35-44","45+")))</f>
        <v/>
      </c>
    </row>
    <row r="114">
      <c r="A114" s="23" t="n">
        <v>44505</v>
      </c>
      <c r="B114" s="3" t="n">
        <v>25</v>
      </c>
      <c r="C114" s="3" t="inlineStr">
        <is>
          <t>M</t>
        </is>
      </c>
      <c r="D114" s="3" t="inlineStr">
        <is>
          <t>United States</t>
        </is>
      </c>
      <c r="E114" s="3" t="inlineStr">
        <is>
          <t>California</t>
        </is>
      </c>
      <c r="F114" s="3" t="inlineStr">
        <is>
          <t>Road Bikes</t>
        </is>
      </c>
      <c r="G114" s="3" t="inlineStr">
        <is>
          <t>Black</t>
        </is>
      </c>
      <c r="H114" s="3" t="inlineStr">
        <is>
          <t>Road-750 Black, 52</t>
        </is>
      </c>
      <c r="I114" s="4" t="n">
        <v>1</v>
      </c>
      <c r="J114" s="24" t="n">
        <v>700</v>
      </c>
      <c r="K114" s="24" t="n">
        <v>1100</v>
      </c>
      <c r="L114" s="25">
        <f>I114*K114</f>
        <v/>
      </c>
      <c r="M114" s="25">
        <f>I114*J114</f>
        <v/>
      </c>
      <c r="N114" s="25">
        <f>L114-M114</f>
        <v/>
      </c>
      <c r="O114" s="26">
        <f>IFERROR(N114/L114,0)</f>
        <v/>
      </c>
      <c r="P114">
        <f>YEAR(A114)</f>
        <v/>
      </c>
      <c r="Q114">
        <f>TEXT(A114,"mmm")</f>
        <v/>
      </c>
      <c r="R114">
        <f>IF(B114&lt;25,"18-24",IF(B114&lt;35,"25-34",IF(B114&lt;45,"35-44","45+")))</f>
        <v/>
      </c>
    </row>
    <row r="115">
      <c r="A115" s="23" t="n">
        <v>44505</v>
      </c>
      <c r="B115" s="3" t="n">
        <v>25</v>
      </c>
      <c r="C115" s="3" t="inlineStr">
        <is>
          <t>M</t>
        </is>
      </c>
      <c r="D115" s="3" t="inlineStr">
        <is>
          <t>Australia</t>
        </is>
      </c>
      <c r="E115" s="3" t="inlineStr">
        <is>
          <t>Queensland</t>
        </is>
      </c>
      <c r="F115" s="3" t="inlineStr">
        <is>
          <t>Road Bikes</t>
        </is>
      </c>
      <c r="G115" s="3" t="inlineStr">
        <is>
          <t>Yellow</t>
        </is>
      </c>
      <c r="H115" s="3" t="inlineStr">
        <is>
          <t>Road-550-W Yellow, 40</t>
        </is>
      </c>
      <c r="I115" s="4" t="n">
        <v>1</v>
      </c>
      <c r="J115" s="24" t="n">
        <v>500</v>
      </c>
      <c r="K115" s="24" t="n">
        <v>800</v>
      </c>
      <c r="L115" s="25">
        <f>I115*K115</f>
        <v/>
      </c>
      <c r="M115" s="25">
        <f>I115*J115</f>
        <v/>
      </c>
      <c r="N115" s="25">
        <f>L115-M115</f>
        <v/>
      </c>
      <c r="O115" s="26">
        <f>IFERROR(N115/L115,0)</f>
        <v/>
      </c>
      <c r="P115">
        <f>YEAR(A115)</f>
        <v/>
      </c>
      <c r="Q115">
        <f>TEXT(A115,"mmm")</f>
        <v/>
      </c>
      <c r="R115">
        <f>IF(B115&lt;25,"18-24",IF(B115&lt;35,"25-34",IF(B115&lt;45,"35-44","45+")))</f>
        <v/>
      </c>
    </row>
    <row r="116">
      <c r="A116" s="23" t="n">
        <v>44507</v>
      </c>
      <c r="B116" s="3" t="n">
        <v>25</v>
      </c>
      <c r="C116" s="3" t="inlineStr">
        <is>
          <t>F</t>
        </is>
      </c>
      <c r="D116" s="3" t="inlineStr">
        <is>
          <t>United States</t>
        </is>
      </c>
      <c r="E116" s="3" t="inlineStr">
        <is>
          <t>Oregon</t>
        </is>
      </c>
      <c r="F116" s="3" t="inlineStr">
        <is>
          <t>Road Bikes</t>
        </is>
      </c>
      <c r="G116" s="3" t="inlineStr">
        <is>
          <t>Yellow</t>
        </is>
      </c>
      <c r="H116" s="3" t="inlineStr">
        <is>
          <t>Road-550-W Yellow, 40</t>
        </is>
      </c>
      <c r="I116" s="4" t="n">
        <v>3</v>
      </c>
      <c r="J116" s="24" t="n">
        <v>500</v>
      </c>
      <c r="K116" s="24" t="n">
        <v>800</v>
      </c>
      <c r="L116" s="25">
        <f>I116*K116</f>
        <v/>
      </c>
      <c r="M116" s="25">
        <f>I116*J116</f>
        <v/>
      </c>
      <c r="N116" s="25">
        <f>L116-M116</f>
        <v/>
      </c>
      <c r="O116" s="26">
        <f>IFERROR(N116/L116,0)</f>
        <v/>
      </c>
      <c r="P116">
        <f>YEAR(A116)</f>
        <v/>
      </c>
      <c r="Q116">
        <f>TEXT(A116,"mmm")</f>
        <v/>
      </c>
      <c r="R116">
        <f>IF(B116&lt;25,"18-24",IF(B116&lt;35,"25-34",IF(B116&lt;45,"35-44","45+")))</f>
        <v/>
      </c>
    </row>
    <row r="117">
      <c r="A117" s="23" t="n">
        <v>44508</v>
      </c>
      <c r="B117" s="3" t="n">
        <v>25</v>
      </c>
      <c r="C117" s="3" t="inlineStr">
        <is>
          <t>M</t>
        </is>
      </c>
      <c r="D117" s="3" t="inlineStr">
        <is>
          <t>Australia</t>
        </is>
      </c>
      <c r="E117" s="3" t="inlineStr">
        <is>
          <t>New South Wales</t>
        </is>
      </c>
      <c r="F117" s="3" t="inlineStr">
        <is>
          <t>Road Bikes</t>
        </is>
      </c>
      <c r="G117" s="3" t="inlineStr">
        <is>
          <t>Yellow</t>
        </is>
      </c>
      <c r="H117" s="3" t="inlineStr">
        <is>
          <t>Road-550-W Yellow, 44</t>
        </is>
      </c>
      <c r="I117" s="4" t="n">
        <v>4</v>
      </c>
      <c r="J117" s="24" t="n">
        <v>500</v>
      </c>
      <c r="K117" s="24" t="n">
        <v>800</v>
      </c>
      <c r="L117" s="25">
        <f>I117*K117</f>
        <v/>
      </c>
      <c r="M117" s="25">
        <f>I117*J117</f>
        <v/>
      </c>
      <c r="N117" s="25">
        <f>L117-M117</f>
        <v/>
      </c>
      <c r="O117" s="26">
        <f>IFERROR(N117/L117,0)</f>
        <v/>
      </c>
      <c r="P117">
        <f>YEAR(A117)</f>
        <v/>
      </c>
      <c r="Q117">
        <f>TEXT(A117,"mmm")</f>
        <v/>
      </c>
      <c r="R117">
        <f>IF(B117&lt;25,"18-24",IF(B117&lt;35,"25-34",IF(B117&lt;45,"35-44","45+")))</f>
        <v/>
      </c>
    </row>
    <row r="118">
      <c r="A118" s="23" t="n">
        <v>44509</v>
      </c>
      <c r="B118" s="3" t="n">
        <v>25</v>
      </c>
      <c r="C118" s="3" t="inlineStr">
        <is>
          <t>M</t>
        </is>
      </c>
      <c r="D118" s="3" t="inlineStr">
        <is>
          <t>Australia</t>
        </is>
      </c>
      <c r="E118" s="3" t="inlineStr">
        <is>
          <t>Victoria</t>
        </is>
      </c>
      <c r="F118" s="3" t="inlineStr">
        <is>
          <t>Road Bikes</t>
        </is>
      </c>
      <c r="G118" s="3" t="inlineStr">
        <is>
          <t>Yellow</t>
        </is>
      </c>
      <c r="H118" s="3" t="inlineStr">
        <is>
          <t>Road-550-W Yellow, 38</t>
        </is>
      </c>
      <c r="I118" s="4" t="n">
        <v>3</v>
      </c>
      <c r="J118" s="24" t="n">
        <v>500</v>
      </c>
      <c r="K118" s="24" t="n">
        <v>800</v>
      </c>
      <c r="L118" s="25">
        <f>I118*K118</f>
        <v/>
      </c>
      <c r="M118" s="25">
        <f>I118*J118</f>
        <v/>
      </c>
      <c r="N118" s="25">
        <f>L118-M118</f>
        <v/>
      </c>
      <c r="O118" s="26">
        <f>IFERROR(N118/L118,0)</f>
        <v/>
      </c>
      <c r="P118">
        <f>YEAR(A118)</f>
        <v/>
      </c>
      <c r="Q118">
        <f>TEXT(A118,"mmm")</f>
        <v/>
      </c>
      <c r="R118">
        <f>IF(B118&lt;25,"18-24",IF(B118&lt;35,"25-34",IF(B118&lt;45,"35-44","45+")))</f>
        <v/>
      </c>
    </row>
    <row r="119">
      <c r="A119" s="23" t="n">
        <v>44510</v>
      </c>
      <c r="B119" s="3" t="n">
        <v>25</v>
      </c>
      <c r="C119" s="3" t="inlineStr">
        <is>
          <t>F</t>
        </is>
      </c>
      <c r="D119" s="3" t="inlineStr">
        <is>
          <t>Germany</t>
        </is>
      </c>
      <c r="E119" s="3" t="inlineStr">
        <is>
          <t>Hamburg</t>
        </is>
      </c>
      <c r="F119" s="3" t="inlineStr">
        <is>
          <t>Road Bikes</t>
        </is>
      </c>
      <c r="G119" s="3" t="inlineStr">
        <is>
          <t>Black</t>
        </is>
      </c>
      <c r="H119" s="3" t="inlineStr">
        <is>
          <t>Road-250 Black, 58</t>
        </is>
      </c>
      <c r="I119" s="4" t="n">
        <v>1</v>
      </c>
      <c r="J119" s="24" t="n">
        <v>580</v>
      </c>
      <c r="K119" s="24" t="n">
        <v>920</v>
      </c>
      <c r="L119" s="25">
        <f>I119*K119</f>
        <v/>
      </c>
      <c r="M119" s="25">
        <f>I119*J119</f>
        <v/>
      </c>
      <c r="N119" s="25">
        <f>L119-M119</f>
        <v/>
      </c>
      <c r="O119" s="26">
        <f>IFERROR(N119/L119,0)</f>
        <v/>
      </c>
      <c r="P119">
        <f>YEAR(A119)</f>
        <v/>
      </c>
      <c r="Q119">
        <f>TEXT(A119,"mmm")</f>
        <v/>
      </c>
      <c r="R119">
        <f>IF(B119&lt;25,"18-24",IF(B119&lt;35,"25-34",IF(B119&lt;45,"35-44","45+")))</f>
        <v/>
      </c>
    </row>
    <row r="120">
      <c r="A120" s="23" t="n">
        <v>44516</v>
      </c>
      <c r="B120" s="3" t="n">
        <v>25</v>
      </c>
      <c r="C120" s="3" t="inlineStr">
        <is>
          <t>M</t>
        </is>
      </c>
      <c r="D120" s="3" t="inlineStr">
        <is>
          <t>Australia</t>
        </is>
      </c>
      <c r="E120" s="3" t="inlineStr">
        <is>
          <t>Queensland</t>
        </is>
      </c>
      <c r="F120" s="3" t="inlineStr">
        <is>
          <t>Road Bikes</t>
        </is>
      </c>
      <c r="G120" s="3" t="inlineStr">
        <is>
          <t>Yellow</t>
        </is>
      </c>
      <c r="H120" s="3" t="inlineStr">
        <is>
          <t>Road-550-W Yellow, 40</t>
        </is>
      </c>
      <c r="I120" s="4" t="n">
        <v>3</v>
      </c>
      <c r="J120" s="24" t="n">
        <v>500</v>
      </c>
      <c r="K120" s="24" t="n">
        <v>800</v>
      </c>
      <c r="L120" s="25">
        <f>I120*K120</f>
        <v/>
      </c>
      <c r="M120" s="25">
        <f>I120*J120</f>
        <v/>
      </c>
      <c r="N120" s="25">
        <f>L120-M120</f>
        <v/>
      </c>
      <c r="O120" s="26">
        <f>IFERROR(N120/L120,0)</f>
        <v/>
      </c>
      <c r="P120">
        <f>YEAR(A120)</f>
        <v/>
      </c>
      <c r="Q120">
        <f>TEXT(A120,"mmm")</f>
        <v/>
      </c>
      <c r="R120">
        <f>IF(B120&lt;25,"18-24",IF(B120&lt;35,"25-34",IF(B120&lt;45,"35-44","45+")))</f>
        <v/>
      </c>
    </row>
    <row r="121">
      <c r="A121" s="23" t="n">
        <v>44516</v>
      </c>
      <c r="B121" s="3" t="n">
        <v>25</v>
      </c>
      <c r="C121" s="3" t="inlineStr">
        <is>
          <t>M</t>
        </is>
      </c>
      <c r="D121" s="3" t="inlineStr">
        <is>
          <t>France</t>
        </is>
      </c>
      <c r="E121" s="3" t="inlineStr">
        <is>
          <t>Seine (Paris)</t>
        </is>
      </c>
      <c r="F121" s="3" t="inlineStr">
        <is>
          <t>Road Bikes</t>
        </is>
      </c>
      <c r="G121" s="3" t="inlineStr">
        <is>
          <t>Yellow</t>
        </is>
      </c>
      <c r="H121" s="3" t="inlineStr">
        <is>
          <t>Road-550-W Yellow, 44</t>
        </is>
      </c>
      <c r="I121" s="4" t="n">
        <v>1</v>
      </c>
      <c r="J121" s="24" t="n">
        <v>500</v>
      </c>
      <c r="K121" s="24" t="n">
        <v>800</v>
      </c>
      <c r="L121" s="25">
        <f>I121*K121</f>
        <v/>
      </c>
      <c r="M121" s="25">
        <f>I121*J121</f>
        <v/>
      </c>
      <c r="N121" s="25">
        <f>L121-M121</f>
        <v/>
      </c>
      <c r="O121" s="26">
        <f>IFERROR(N121/L121,0)</f>
        <v/>
      </c>
      <c r="P121">
        <f>YEAR(A121)</f>
        <v/>
      </c>
      <c r="Q121">
        <f>TEXT(A121,"mmm")</f>
        <v/>
      </c>
      <c r="R121">
        <f>IF(B121&lt;25,"18-24",IF(B121&lt;35,"25-34",IF(B121&lt;45,"35-44","45+")))</f>
        <v/>
      </c>
    </row>
    <row r="122">
      <c r="A122" s="23" t="n">
        <v>44518</v>
      </c>
      <c r="B122" s="3" t="n">
        <v>25</v>
      </c>
      <c r="C122" s="3" t="inlineStr">
        <is>
          <t>M</t>
        </is>
      </c>
      <c r="D122" s="3" t="inlineStr">
        <is>
          <t>Australia</t>
        </is>
      </c>
      <c r="E122" s="3" t="inlineStr">
        <is>
          <t>Victoria</t>
        </is>
      </c>
      <c r="F122" s="3" t="inlineStr">
        <is>
          <t>Road Bikes</t>
        </is>
      </c>
      <c r="G122" s="3" t="inlineStr">
        <is>
          <t>Yellow</t>
        </is>
      </c>
      <c r="H122" s="3" t="inlineStr">
        <is>
          <t>Road-550-W Yellow, 38</t>
        </is>
      </c>
      <c r="I122" s="4" t="n">
        <v>1</v>
      </c>
      <c r="J122" s="24" t="n">
        <v>500</v>
      </c>
      <c r="K122" s="24" t="n">
        <v>800</v>
      </c>
      <c r="L122" s="25">
        <f>I122*K122</f>
        <v/>
      </c>
      <c r="M122" s="25">
        <f>I122*J122</f>
        <v/>
      </c>
      <c r="N122" s="25">
        <f>L122-M122</f>
        <v/>
      </c>
      <c r="O122" s="26">
        <f>IFERROR(N122/L122,0)</f>
        <v/>
      </c>
      <c r="P122">
        <f>YEAR(A122)</f>
        <v/>
      </c>
      <c r="Q122">
        <f>TEXT(A122,"mmm")</f>
        <v/>
      </c>
      <c r="R122">
        <f>IF(B122&lt;25,"18-24",IF(B122&lt;35,"25-34",IF(B122&lt;45,"35-44","45+")))</f>
        <v/>
      </c>
    </row>
    <row r="123">
      <c r="A123" s="23" t="n">
        <v>44521</v>
      </c>
      <c r="B123" s="3" t="n">
        <v>25</v>
      </c>
      <c r="C123" s="3" t="inlineStr">
        <is>
          <t>M</t>
        </is>
      </c>
      <c r="D123" s="3" t="inlineStr">
        <is>
          <t>Germany</t>
        </is>
      </c>
      <c r="E123" s="3" t="inlineStr">
        <is>
          <t>Hessen</t>
        </is>
      </c>
      <c r="F123" s="3" t="inlineStr">
        <is>
          <t>Road Bikes</t>
        </is>
      </c>
      <c r="G123" s="3" t="inlineStr">
        <is>
          <t>Yellow</t>
        </is>
      </c>
      <c r="H123" s="3" t="inlineStr">
        <is>
          <t>Road-350-W Yellow, 40</t>
        </is>
      </c>
      <c r="I123" s="4" t="n">
        <v>2</v>
      </c>
      <c r="J123" s="24" t="n">
        <v>530</v>
      </c>
      <c r="K123" s="24" t="n">
        <v>840</v>
      </c>
      <c r="L123" s="25">
        <f>I123*K123</f>
        <v/>
      </c>
      <c r="M123" s="25">
        <f>I123*J123</f>
        <v/>
      </c>
      <c r="N123" s="25">
        <f>L123-M123</f>
        <v/>
      </c>
      <c r="O123" s="26">
        <f>IFERROR(N123/L123,0)</f>
        <v/>
      </c>
      <c r="P123">
        <f>YEAR(A123)</f>
        <v/>
      </c>
      <c r="Q123">
        <f>TEXT(A123,"mmm")</f>
        <v/>
      </c>
      <c r="R123">
        <f>IF(B123&lt;25,"18-24",IF(B123&lt;35,"25-34",IF(B123&lt;45,"35-44","45+")))</f>
        <v/>
      </c>
    </row>
    <row r="124">
      <c r="A124" s="23" t="n">
        <v>44521</v>
      </c>
      <c r="B124" s="3" t="n">
        <v>25</v>
      </c>
      <c r="C124" s="3" t="inlineStr">
        <is>
          <t>F</t>
        </is>
      </c>
      <c r="D124" s="3" t="inlineStr">
        <is>
          <t>France</t>
        </is>
      </c>
      <c r="E124" s="3" t="inlineStr">
        <is>
          <t>Essonne</t>
        </is>
      </c>
      <c r="F124" s="3" t="inlineStr">
        <is>
          <t>Road Bikes</t>
        </is>
      </c>
      <c r="G124" s="3" t="inlineStr">
        <is>
          <t>Yellow</t>
        </is>
      </c>
      <c r="H124" s="3" t="inlineStr">
        <is>
          <t>Road-350-W Yellow, 44</t>
        </is>
      </c>
      <c r="I124" s="4" t="n">
        <v>1</v>
      </c>
      <c r="J124" s="24" t="n">
        <v>530</v>
      </c>
      <c r="K124" s="24" t="n">
        <v>840</v>
      </c>
      <c r="L124" s="25">
        <f>I124*K124</f>
        <v/>
      </c>
      <c r="M124" s="25">
        <f>I124*J124</f>
        <v/>
      </c>
      <c r="N124" s="25">
        <f>L124-M124</f>
        <v/>
      </c>
      <c r="O124" s="26">
        <f>IFERROR(N124/L124,0)</f>
        <v/>
      </c>
      <c r="P124">
        <f>YEAR(A124)</f>
        <v/>
      </c>
      <c r="Q124">
        <f>TEXT(A124,"mmm")</f>
        <v/>
      </c>
      <c r="R124">
        <f>IF(B124&lt;25,"18-24",IF(B124&lt;35,"25-34",IF(B124&lt;45,"35-44","45+")))</f>
        <v/>
      </c>
    </row>
    <row r="125">
      <c r="A125" s="23" t="n">
        <v>44527</v>
      </c>
      <c r="B125" s="3" t="n">
        <v>25</v>
      </c>
      <c r="C125" s="3" t="inlineStr">
        <is>
          <t>M</t>
        </is>
      </c>
      <c r="D125" s="3" t="inlineStr">
        <is>
          <t>Australia</t>
        </is>
      </c>
      <c r="E125" s="3" t="inlineStr">
        <is>
          <t>New South Wales</t>
        </is>
      </c>
      <c r="F125" s="3" t="inlineStr">
        <is>
          <t>Road Bikes</t>
        </is>
      </c>
      <c r="G125" s="3" t="inlineStr">
        <is>
          <t>Yellow</t>
        </is>
      </c>
      <c r="H125" s="3" t="inlineStr">
        <is>
          <t>Road-550-W Yellow, 44</t>
        </is>
      </c>
      <c r="I125" s="4" t="n">
        <v>1</v>
      </c>
      <c r="J125" s="24" t="n">
        <v>500</v>
      </c>
      <c r="K125" s="24" t="n">
        <v>800</v>
      </c>
      <c r="L125" s="25">
        <f>I125*K125</f>
        <v/>
      </c>
      <c r="M125" s="25">
        <f>I125*J125</f>
        <v/>
      </c>
      <c r="N125" s="25">
        <f>L125-M125</f>
        <v/>
      </c>
      <c r="O125" s="26">
        <f>IFERROR(N125/L125,0)</f>
        <v/>
      </c>
      <c r="P125">
        <f>YEAR(A125)</f>
        <v/>
      </c>
      <c r="Q125">
        <f>TEXT(A125,"mmm")</f>
        <v/>
      </c>
      <c r="R125">
        <f>IF(B125&lt;25,"18-24",IF(B125&lt;35,"25-34",IF(B125&lt;45,"35-44","45+")))</f>
        <v/>
      </c>
    </row>
    <row r="126">
      <c r="A126" s="23" t="n">
        <v>44537</v>
      </c>
      <c r="B126" s="3" t="n">
        <v>25</v>
      </c>
      <c r="C126" s="3" t="inlineStr">
        <is>
          <t>M</t>
        </is>
      </c>
      <c r="D126" s="3" t="inlineStr">
        <is>
          <t>United Kingdom</t>
        </is>
      </c>
      <c r="E126" s="3" t="inlineStr">
        <is>
          <t>England</t>
        </is>
      </c>
      <c r="F126" s="3" t="inlineStr">
        <is>
          <t>Road Bikes</t>
        </is>
      </c>
      <c r="G126" s="3" t="inlineStr">
        <is>
          <t>Red</t>
        </is>
      </c>
      <c r="H126" s="3" t="inlineStr">
        <is>
          <t>Road-250 Red, 58</t>
        </is>
      </c>
      <c r="I126" s="4" t="n">
        <v>3</v>
      </c>
      <c r="J126" s="24" t="n">
        <v>580</v>
      </c>
      <c r="K126" s="24" t="n">
        <v>920</v>
      </c>
      <c r="L126" s="25">
        <f>I126*K126</f>
        <v/>
      </c>
      <c r="M126" s="25">
        <f>I126*J126</f>
        <v/>
      </c>
      <c r="N126" s="25">
        <f>L126-M126</f>
        <v/>
      </c>
      <c r="O126" s="26">
        <f>IFERROR(N126/L126,0)</f>
        <v/>
      </c>
      <c r="P126">
        <f>YEAR(A126)</f>
        <v/>
      </c>
      <c r="Q126">
        <f>TEXT(A126,"mmm")</f>
        <v/>
      </c>
      <c r="R126">
        <f>IF(B126&lt;25,"18-24",IF(B126&lt;35,"25-34",IF(B126&lt;45,"35-44","45+")))</f>
        <v/>
      </c>
    </row>
    <row r="127">
      <c r="A127" s="23" t="n">
        <v>44537</v>
      </c>
      <c r="B127" s="3" t="n">
        <v>25</v>
      </c>
      <c r="C127" s="3" t="inlineStr">
        <is>
          <t>F</t>
        </is>
      </c>
      <c r="D127" s="3" t="inlineStr">
        <is>
          <t>United Kingdom</t>
        </is>
      </c>
      <c r="E127" s="3" t="inlineStr">
        <is>
          <t>England</t>
        </is>
      </c>
      <c r="F127" s="3" t="inlineStr">
        <is>
          <t>Road Bikes</t>
        </is>
      </c>
      <c r="G127" s="3" t="inlineStr">
        <is>
          <t>Black</t>
        </is>
      </c>
      <c r="H127" s="3" t="inlineStr">
        <is>
          <t>Road-650 Black, 60</t>
        </is>
      </c>
      <c r="I127" s="4" t="n">
        <v>1</v>
      </c>
      <c r="J127" s="24" t="n">
        <v>620</v>
      </c>
      <c r="K127" s="24" t="n">
        <v>980</v>
      </c>
      <c r="L127" s="25">
        <f>I127*K127</f>
        <v/>
      </c>
      <c r="M127" s="25">
        <f>I127*J127</f>
        <v/>
      </c>
      <c r="N127" s="25">
        <f>L127-M127</f>
        <v/>
      </c>
      <c r="O127" s="26">
        <f>IFERROR(N127/L127,0)</f>
        <v/>
      </c>
      <c r="P127">
        <f>YEAR(A127)</f>
        <v/>
      </c>
      <c r="Q127">
        <f>TEXT(A127,"mmm")</f>
        <v/>
      </c>
      <c r="R127">
        <f>IF(B127&lt;25,"18-24",IF(B127&lt;35,"25-34",IF(B127&lt;45,"35-44","45+")))</f>
        <v/>
      </c>
    </row>
    <row r="128">
      <c r="A128" s="23" t="n">
        <v>44538</v>
      </c>
      <c r="B128" s="3" t="n">
        <v>25</v>
      </c>
      <c r="C128" s="3" t="inlineStr">
        <is>
          <t>F</t>
        </is>
      </c>
      <c r="D128" s="3" t="inlineStr">
        <is>
          <t>Australia</t>
        </is>
      </c>
      <c r="E128" s="3" t="inlineStr">
        <is>
          <t>Victoria</t>
        </is>
      </c>
      <c r="F128" s="3" t="inlineStr">
        <is>
          <t>Road Bikes</t>
        </is>
      </c>
      <c r="G128" s="3" t="inlineStr">
        <is>
          <t>Yellow</t>
        </is>
      </c>
      <c r="H128" s="3" t="inlineStr">
        <is>
          <t>Road-350-W Yellow, 48</t>
        </is>
      </c>
      <c r="I128" s="4" t="n">
        <v>4</v>
      </c>
      <c r="J128" s="24" t="n">
        <v>530</v>
      </c>
      <c r="K128" s="24" t="n">
        <v>840</v>
      </c>
      <c r="L128" s="25">
        <f>I128*K128</f>
        <v/>
      </c>
      <c r="M128" s="25">
        <f>I128*J128</f>
        <v/>
      </c>
      <c r="N128" s="25">
        <f>L128-M128</f>
        <v/>
      </c>
      <c r="O128" s="26">
        <f>IFERROR(N128/L128,0)</f>
        <v/>
      </c>
      <c r="P128">
        <f>YEAR(A128)</f>
        <v/>
      </c>
      <c r="Q128">
        <f>TEXT(A128,"mmm")</f>
        <v/>
      </c>
      <c r="R128">
        <f>IF(B128&lt;25,"18-24",IF(B128&lt;35,"25-34",IF(B128&lt;45,"35-44","45+")))</f>
        <v/>
      </c>
    </row>
    <row r="129">
      <c r="A129" s="23" t="n">
        <v>44549</v>
      </c>
      <c r="B129" s="3" t="n">
        <v>25</v>
      </c>
      <c r="C129" s="3" t="inlineStr">
        <is>
          <t>M</t>
        </is>
      </c>
      <c r="D129" s="3" t="inlineStr">
        <is>
          <t>France</t>
        </is>
      </c>
      <c r="E129" s="3" t="inlineStr">
        <is>
          <t>Seine (Paris)</t>
        </is>
      </c>
      <c r="F129" s="3" t="inlineStr">
        <is>
          <t>Mountain Bikes</t>
        </is>
      </c>
      <c r="G129" s="3" t="inlineStr">
        <is>
          <t>Black</t>
        </is>
      </c>
      <c r="H129" s="3" t="inlineStr">
        <is>
          <t>Mountain-200 Black, 38</t>
        </is>
      </c>
      <c r="I129" s="4" t="n">
        <v>4</v>
      </c>
      <c r="J129" s="24" t="n">
        <v>550</v>
      </c>
      <c r="K129" s="24" t="n">
        <v>850</v>
      </c>
      <c r="L129" s="25">
        <f>I129*K129</f>
        <v/>
      </c>
      <c r="M129" s="25">
        <f>I129*J129</f>
        <v/>
      </c>
      <c r="N129" s="25">
        <f>L129-M129</f>
        <v/>
      </c>
      <c r="O129" s="26">
        <f>IFERROR(N129/L129,0)</f>
        <v/>
      </c>
      <c r="P129">
        <f>YEAR(A129)</f>
        <v/>
      </c>
      <c r="Q129">
        <f>TEXT(A129,"mmm")</f>
        <v/>
      </c>
      <c r="R129">
        <f>IF(B129&lt;25,"18-24",IF(B129&lt;35,"25-34",IF(B129&lt;45,"35-44","45+")))</f>
        <v/>
      </c>
    </row>
    <row r="130">
      <c r="A130" s="23" t="n">
        <v>44552</v>
      </c>
      <c r="B130" s="3" t="n">
        <v>25</v>
      </c>
      <c r="C130" s="3" t="inlineStr">
        <is>
          <t>M</t>
        </is>
      </c>
      <c r="D130" s="3" t="inlineStr">
        <is>
          <t>France</t>
        </is>
      </c>
      <c r="E130" s="3" t="inlineStr">
        <is>
          <t>Seine (Paris)</t>
        </is>
      </c>
      <c r="F130" s="3" t="inlineStr">
        <is>
          <t>Mountain Bikes</t>
        </is>
      </c>
      <c r="G130" s="3" t="inlineStr">
        <is>
          <t>Black</t>
        </is>
      </c>
      <c r="H130" s="3" t="inlineStr">
        <is>
          <t>Mountain-200 Black, 38</t>
        </is>
      </c>
      <c r="I130" s="4" t="n">
        <v>1</v>
      </c>
      <c r="J130" s="24" t="n">
        <v>550</v>
      </c>
      <c r="K130" s="24" t="n">
        <v>850</v>
      </c>
      <c r="L130" s="25">
        <f>I130*K130</f>
        <v/>
      </c>
      <c r="M130" s="25">
        <f>I130*J130</f>
        <v/>
      </c>
      <c r="N130" s="25">
        <f>L130-M130</f>
        <v/>
      </c>
      <c r="O130" s="26">
        <f>IFERROR(N130/L130,0)</f>
        <v/>
      </c>
      <c r="P130">
        <f>YEAR(A130)</f>
        <v/>
      </c>
      <c r="Q130">
        <f>TEXT(A130,"mmm")</f>
        <v/>
      </c>
      <c r="R130">
        <f>IF(B130&lt;25,"18-24",IF(B130&lt;35,"25-34",IF(B130&lt;45,"35-44","45+")))</f>
        <v/>
      </c>
    </row>
    <row r="131">
      <c r="A131" s="23" t="n">
        <v>44554</v>
      </c>
      <c r="B131" s="3" t="n">
        <v>25</v>
      </c>
      <c r="C131" s="3" t="inlineStr">
        <is>
          <t>M</t>
        </is>
      </c>
      <c r="D131" s="3" t="inlineStr">
        <is>
          <t>France</t>
        </is>
      </c>
      <c r="E131" s="3" t="inlineStr">
        <is>
          <t>Seine Saint Denis</t>
        </is>
      </c>
      <c r="F131" s="3" t="inlineStr">
        <is>
          <t>Mountain Bikes</t>
        </is>
      </c>
      <c r="G131" s="3" t="inlineStr">
        <is>
          <t>Silver</t>
        </is>
      </c>
      <c r="H131" s="3" t="inlineStr">
        <is>
          <t>Mountain-200 Silver, 42</t>
        </is>
      </c>
      <c r="I131" s="4" t="n">
        <v>3</v>
      </c>
      <c r="J131" s="24" t="n">
        <v>550</v>
      </c>
      <c r="K131" s="24" t="n">
        <v>850</v>
      </c>
      <c r="L131" s="25">
        <f>I131*K131</f>
        <v/>
      </c>
      <c r="M131" s="25">
        <f>I131*J131</f>
        <v/>
      </c>
      <c r="N131" s="25">
        <f>L131-M131</f>
        <v/>
      </c>
      <c r="O131" s="26">
        <f>IFERROR(N131/L131,0)</f>
        <v/>
      </c>
      <c r="P131">
        <f>YEAR(A131)</f>
        <v/>
      </c>
      <c r="Q131">
        <f>TEXT(A131,"mmm")</f>
        <v/>
      </c>
      <c r="R131">
        <f>IF(B131&lt;25,"18-24",IF(B131&lt;35,"25-34",IF(B131&lt;45,"35-44","45+")))</f>
        <v/>
      </c>
    </row>
    <row r="132">
      <c r="A132" s="23" t="n">
        <v>44555</v>
      </c>
      <c r="B132" s="3" t="n">
        <v>25</v>
      </c>
      <c r="C132" s="3" t="inlineStr">
        <is>
          <t>M</t>
        </is>
      </c>
      <c r="D132" s="3" t="inlineStr">
        <is>
          <t>Germany</t>
        </is>
      </c>
      <c r="E132" s="3" t="inlineStr">
        <is>
          <t>Bayern</t>
        </is>
      </c>
      <c r="F132" s="3" t="inlineStr">
        <is>
          <t>Road Bikes</t>
        </is>
      </c>
      <c r="G132" s="3" t="inlineStr">
        <is>
          <t>Black</t>
        </is>
      </c>
      <c r="H132" s="3" t="inlineStr">
        <is>
          <t>Road-250 Black, 52</t>
        </is>
      </c>
      <c r="I132" s="4" t="n">
        <v>3</v>
      </c>
      <c r="J132" s="24" t="n">
        <v>580</v>
      </c>
      <c r="K132" s="24" t="n">
        <v>920</v>
      </c>
      <c r="L132" s="25">
        <f>I132*K132</f>
        <v/>
      </c>
      <c r="M132" s="25">
        <f>I132*J132</f>
        <v/>
      </c>
      <c r="N132" s="25">
        <f>L132-M132</f>
        <v/>
      </c>
      <c r="O132" s="26">
        <f>IFERROR(N132/L132,0)</f>
        <v/>
      </c>
      <c r="P132">
        <f>YEAR(A132)</f>
        <v/>
      </c>
      <c r="Q132">
        <f>TEXT(A132,"mmm")</f>
        <v/>
      </c>
      <c r="R132">
        <f>IF(B132&lt;25,"18-24",IF(B132&lt;35,"25-34",IF(B132&lt;45,"35-44","45+")))</f>
        <v/>
      </c>
    </row>
    <row r="133">
      <c r="A133" s="23" t="n">
        <v>44556</v>
      </c>
      <c r="B133" s="3" t="n">
        <v>25</v>
      </c>
      <c r="C133" s="3" t="inlineStr">
        <is>
          <t>F</t>
        </is>
      </c>
      <c r="D133" s="3" t="inlineStr">
        <is>
          <t>United Kingdom</t>
        </is>
      </c>
      <c r="E133" s="3" t="inlineStr">
        <is>
          <t>England</t>
        </is>
      </c>
      <c r="F133" s="3" t="inlineStr">
        <is>
          <t>Mountain Bikes</t>
        </is>
      </c>
      <c r="G133" s="3" t="inlineStr">
        <is>
          <t>Black</t>
        </is>
      </c>
      <c r="H133" s="3" t="inlineStr">
        <is>
          <t>Mountain-200 Black, 42</t>
        </is>
      </c>
      <c r="I133" s="4" t="n">
        <v>1</v>
      </c>
      <c r="J133" s="24" t="n">
        <v>550</v>
      </c>
      <c r="K133" s="24" t="n">
        <v>850</v>
      </c>
      <c r="L133" s="25">
        <f>I133*K133</f>
        <v/>
      </c>
      <c r="M133" s="25">
        <f>I133*J133</f>
        <v/>
      </c>
      <c r="N133" s="25">
        <f>L133-M133</f>
        <v/>
      </c>
      <c r="O133" s="26">
        <f>IFERROR(N133/L133,0)</f>
        <v/>
      </c>
      <c r="P133">
        <f>YEAR(A133)</f>
        <v/>
      </c>
      <c r="Q133">
        <f>TEXT(A133,"mmm")</f>
        <v/>
      </c>
      <c r="R133">
        <f>IF(B133&lt;25,"18-24",IF(B133&lt;35,"25-34",IF(B133&lt;45,"35-44","45+")))</f>
        <v/>
      </c>
    </row>
    <row r="134">
      <c r="A134" s="23" t="n">
        <v>44559</v>
      </c>
      <c r="B134" s="3" t="n">
        <v>25</v>
      </c>
      <c r="C134" s="3" t="inlineStr">
        <is>
          <t>M</t>
        </is>
      </c>
      <c r="D134" s="3" t="inlineStr">
        <is>
          <t>Canada</t>
        </is>
      </c>
      <c r="E134" s="3" t="inlineStr">
        <is>
          <t>British Columbia</t>
        </is>
      </c>
      <c r="F134" s="3" t="inlineStr">
        <is>
          <t>Road Bikes</t>
        </is>
      </c>
      <c r="G134" s="3" t="inlineStr">
        <is>
          <t>Red</t>
        </is>
      </c>
      <c r="H134" s="3" t="inlineStr">
        <is>
          <t>Road-150 Red, 62</t>
        </is>
      </c>
      <c r="I134" s="4" t="n">
        <v>3</v>
      </c>
      <c r="J134" s="24" t="n">
        <v>900</v>
      </c>
      <c r="K134" s="24" t="n">
        <v>1400</v>
      </c>
      <c r="L134" s="25">
        <f>I134*K134</f>
        <v/>
      </c>
      <c r="M134" s="25">
        <f>I134*J134</f>
        <v/>
      </c>
      <c r="N134" s="25">
        <f>L134-M134</f>
        <v/>
      </c>
      <c r="O134" s="26">
        <f>IFERROR(N134/L134,0)</f>
        <v/>
      </c>
      <c r="P134">
        <f>YEAR(A134)</f>
        <v/>
      </c>
      <c r="Q134">
        <f>TEXT(A134,"mmm")</f>
        <v/>
      </c>
      <c r="R134">
        <f>IF(B134&lt;25,"18-24",IF(B134&lt;35,"25-34",IF(B134&lt;45,"35-44","45+")))</f>
        <v/>
      </c>
    </row>
    <row r="135">
      <c r="A135" s="23" t="n">
        <v>44560</v>
      </c>
      <c r="B135" s="3" t="n">
        <v>25</v>
      </c>
      <c r="C135" s="3" t="inlineStr">
        <is>
          <t>F</t>
        </is>
      </c>
      <c r="D135" s="3" t="inlineStr">
        <is>
          <t>United Kingdom</t>
        </is>
      </c>
      <c r="E135" s="3" t="inlineStr">
        <is>
          <t>England</t>
        </is>
      </c>
      <c r="F135" s="3" t="inlineStr">
        <is>
          <t>Mountain Bikes</t>
        </is>
      </c>
      <c r="G135" s="3" t="inlineStr">
        <is>
          <t>Black</t>
        </is>
      </c>
      <c r="H135" s="3" t="inlineStr">
        <is>
          <t>Mountain-200 Black, 42</t>
        </is>
      </c>
      <c r="I135" s="4" t="n">
        <v>2</v>
      </c>
      <c r="J135" s="24" t="n">
        <v>550</v>
      </c>
      <c r="K135" s="24" t="n">
        <v>850</v>
      </c>
      <c r="L135" s="25">
        <f>I135*K135</f>
        <v/>
      </c>
      <c r="M135" s="25">
        <f>I135*J135</f>
        <v/>
      </c>
      <c r="N135" s="25">
        <f>L135-M135</f>
        <v/>
      </c>
      <c r="O135" s="26">
        <f>IFERROR(N135/L135,0)</f>
        <v/>
      </c>
      <c r="P135">
        <f>YEAR(A135)</f>
        <v/>
      </c>
      <c r="Q135">
        <f>TEXT(A135,"mmm")</f>
        <v/>
      </c>
      <c r="R135">
        <f>IF(B135&lt;25,"18-24",IF(B135&lt;35,"25-34",IF(B135&lt;45,"35-44","45+")))</f>
        <v/>
      </c>
    </row>
    <row r="136">
      <c r="A136" s="23" t="n">
        <v>44561</v>
      </c>
      <c r="B136" s="3" t="n">
        <v>25</v>
      </c>
      <c r="C136" s="3" t="inlineStr">
        <is>
          <t>F</t>
        </is>
      </c>
      <c r="D136" s="3" t="inlineStr">
        <is>
          <t>Germany</t>
        </is>
      </c>
      <c r="E136" s="3" t="inlineStr">
        <is>
          <t>Hessen</t>
        </is>
      </c>
      <c r="F136" s="3" t="inlineStr">
        <is>
          <t>Road Bikes</t>
        </is>
      </c>
      <c r="G136" s="3" t="inlineStr">
        <is>
          <t>Yellow</t>
        </is>
      </c>
      <c r="H136" s="3" t="inlineStr">
        <is>
          <t>Road-550-W Yellow, 38</t>
        </is>
      </c>
      <c r="I136" s="4" t="n">
        <v>1</v>
      </c>
      <c r="J136" s="24" t="n">
        <v>500</v>
      </c>
      <c r="K136" s="24" t="n">
        <v>800</v>
      </c>
      <c r="L136" s="25">
        <f>I136*K136</f>
        <v/>
      </c>
      <c r="M136" s="25">
        <f>I136*J136</f>
        <v/>
      </c>
      <c r="N136" s="25">
        <f>L136-M136</f>
        <v/>
      </c>
      <c r="O136" s="26">
        <f>IFERROR(N136/L136,0)</f>
        <v/>
      </c>
      <c r="P136">
        <f>YEAR(A136)</f>
        <v/>
      </c>
      <c r="Q136">
        <f>TEXT(A136,"mmm")</f>
        <v/>
      </c>
      <c r="R136">
        <f>IF(B136&lt;25,"18-24",IF(B136&lt;35,"25-34",IF(B136&lt;45,"35-44","45+")))</f>
        <v/>
      </c>
    </row>
    <row r="137">
      <c r="A137" s="23" t="n">
        <v>44475</v>
      </c>
      <c r="B137" s="3" t="n">
        <v>26</v>
      </c>
      <c r="C137" s="3" t="inlineStr">
        <is>
          <t>F</t>
        </is>
      </c>
      <c r="D137" s="3" t="inlineStr">
        <is>
          <t>Australia</t>
        </is>
      </c>
      <c r="E137" s="3" t="inlineStr">
        <is>
          <t>New South Wales</t>
        </is>
      </c>
      <c r="F137" s="3" t="inlineStr">
        <is>
          <t>Mountain Bikes</t>
        </is>
      </c>
      <c r="G137" s="3" t="inlineStr">
        <is>
          <t>Black</t>
        </is>
      </c>
      <c r="H137" s="3" t="inlineStr">
        <is>
          <t>Mountain-200 Black, 46</t>
        </is>
      </c>
      <c r="I137" s="4" t="n">
        <v>3</v>
      </c>
      <c r="J137" s="24" t="n">
        <v>550</v>
      </c>
      <c r="K137" s="24" t="n">
        <v>850</v>
      </c>
      <c r="L137" s="25">
        <f>I137*K137</f>
        <v/>
      </c>
      <c r="M137" s="25">
        <f>I137*J137</f>
        <v/>
      </c>
      <c r="N137" s="25">
        <f>L137-M137</f>
        <v/>
      </c>
      <c r="O137" s="26">
        <f>IFERROR(N137/L137,0)</f>
        <v/>
      </c>
      <c r="P137">
        <f>YEAR(A137)</f>
        <v/>
      </c>
      <c r="Q137">
        <f>TEXT(A137,"mmm")</f>
        <v/>
      </c>
      <c r="R137">
        <f>IF(B137&lt;25,"18-24",IF(B137&lt;35,"25-34",IF(B137&lt;45,"35-44","45+")))</f>
        <v/>
      </c>
    </row>
    <row r="138">
      <c r="A138" s="23" t="n">
        <v>44475</v>
      </c>
      <c r="B138" s="3" t="n">
        <v>26</v>
      </c>
      <c r="C138" s="3" t="inlineStr">
        <is>
          <t>M</t>
        </is>
      </c>
      <c r="D138" s="3" t="inlineStr">
        <is>
          <t>Australia</t>
        </is>
      </c>
      <c r="E138" s="3" t="inlineStr">
        <is>
          <t>Victoria</t>
        </is>
      </c>
      <c r="F138" s="3" t="inlineStr">
        <is>
          <t>Road Bikes</t>
        </is>
      </c>
      <c r="G138" s="3" t="inlineStr">
        <is>
          <t>Black</t>
        </is>
      </c>
      <c r="H138" s="3" t="inlineStr">
        <is>
          <t>Road-750 Black, 52</t>
        </is>
      </c>
      <c r="I138" s="4" t="n">
        <v>1</v>
      </c>
      <c r="J138" s="24" t="n">
        <v>700</v>
      </c>
      <c r="K138" s="24" t="n">
        <v>1100</v>
      </c>
      <c r="L138" s="25">
        <f>I138*K138</f>
        <v/>
      </c>
      <c r="M138" s="25">
        <f>I138*J138</f>
        <v/>
      </c>
      <c r="N138" s="25">
        <f>L138-M138</f>
        <v/>
      </c>
      <c r="O138" s="26">
        <f>IFERROR(N138/L138,0)</f>
        <v/>
      </c>
      <c r="P138">
        <f>YEAR(A138)</f>
        <v/>
      </c>
      <c r="Q138">
        <f>TEXT(A138,"mmm")</f>
        <v/>
      </c>
      <c r="R138">
        <f>IF(B138&lt;25,"18-24",IF(B138&lt;35,"25-34",IF(B138&lt;45,"35-44","45+")))</f>
        <v/>
      </c>
    </row>
    <row r="139">
      <c r="A139" s="23" t="n">
        <v>44480</v>
      </c>
      <c r="B139" s="3" t="n">
        <v>26</v>
      </c>
      <c r="C139" s="3" t="inlineStr">
        <is>
          <t>F</t>
        </is>
      </c>
      <c r="D139" s="3" t="inlineStr">
        <is>
          <t>France</t>
        </is>
      </c>
      <c r="E139" s="3" t="inlineStr">
        <is>
          <t>Moselle</t>
        </is>
      </c>
      <c r="F139" s="3" t="inlineStr">
        <is>
          <t>Road Bikes</t>
        </is>
      </c>
      <c r="G139" s="3" t="inlineStr">
        <is>
          <t>Black</t>
        </is>
      </c>
      <c r="H139" s="3" t="inlineStr">
        <is>
          <t>Road-750 Black, 58</t>
        </is>
      </c>
      <c r="I139" s="4" t="n">
        <v>1</v>
      </c>
      <c r="J139" s="24" t="n">
        <v>700</v>
      </c>
      <c r="K139" s="24" t="n">
        <v>1100</v>
      </c>
      <c r="L139" s="25">
        <f>I139*K139</f>
        <v/>
      </c>
      <c r="M139" s="25">
        <f>I139*J139</f>
        <v/>
      </c>
      <c r="N139" s="25">
        <f>L139-M139</f>
        <v/>
      </c>
      <c r="O139" s="26">
        <f>IFERROR(N139/L139,0)</f>
        <v/>
      </c>
      <c r="P139">
        <f>YEAR(A139)</f>
        <v/>
      </c>
      <c r="Q139">
        <f>TEXT(A139,"mmm")</f>
        <v/>
      </c>
      <c r="R139">
        <f>IF(B139&lt;25,"18-24",IF(B139&lt;35,"25-34",IF(B139&lt;45,"35-44","45+")))</f>
        <v/>
      </c>
    </row>
    <row r="140">
      <c r="A140" s="23" t="n">
        <v>44480</v>
      </c>
      <c r="B140" s="3" t="n">
        <v>26</v>
      </c>
      <c r="C140" s="3" t="inlineStr">
        <is>
          <t>M</t>
        </is>
      </c>
      <c r="D140" s="3" t="inlineStr">
        <is>
          <t>Germany</t>
        </is>
      </c>
      <c r="E140" s="3" t="inlineStr">
        <is>
          <t>Bayern</t>
        </is>
      </c>
      <c r="F140" s="3" t="inlineStr">
        <is>
          <t>Road Bikes</t>
        </is>
      </c>
      <c r="G140" s="3" t="inlineStr">
        <is>
          <t>Red</t>
        </is>
      </c>
      <c r="H140" s="3" t="inlineStr">
        <is>
          <t>Road-250 Red, 48</t>
        </is>
      </c>
      <c r="I140" s="4" t="n">
        <v>1</v>
      </c>
      <c r="J140" s="24" t="n">
        <v>580</v>
      </c>
      <c r="K140" s="24" t="n">
        <v>920</v>
      </c>
      <c r="L140" s="25">
        <f>I140*K140</f>
        <v/>
      </c>
      <c r="M140" s="25">
        <f>I140*J140</f>
        <v/>
      </c>
      <c r="N140" s="25">
        <f>L140-M140</f>
        <v/>
      </c>
      <c r="O140" s="26">
        <f>IFERROR(N140/L140,0)</f>
        <v/>
      </c>
      <c r="P140">
        <f>YEAR(A140)</f>
        <v/>
      </c>
      <c r="Q140">
        <f>TEXT(A140,"mmm")</f>
        <v/>
      </c>
      <c r="R140">
        <f>IF(B140&lt;25,"18-24",IF(B140&lt;35,"25-34",IF(B140&lt;45,"35-44","45+")))</f>
        <v/>
      </c>
    </row>
    <row r="141">
      <c r="A141" s="23" t="n">
        <v>44481</v>
      </c>
      <c r="B141" s="3" t="n">
        <v>26</v>
      </c>
      <c r="C141" s="3" t="inlineStr">
        <is>
          <t>F</t>
        </is>
      </c>
      <c r="D141" s="3" t="inlineStr">
        <is>
          <t>Australia</t>
        </is>
      </c>
      <c r="E141" s="3" t="inlineStr">
        <is>
          <t>New South Wales</t>
        </is>
      </c>
      <c r="F141" s="3" t="inlineStr">
        <is>
          <t>Road Bikes</t>
        </is>
      </c>
      <c r="G141" s="3" t="inlineStr">
        <is>
          <t>Red</t>
        </is>
      </c>
      <c r="H141" s="3" t="inlineStr">
        <is>
          <t>Road-250 Red, 58</t>
        </is>
      </c>
      <c r="I141" s="4" t="n">
        <v>1</v>
      </c>
      <c r="J141" s="24" t="n">
        <v>580</v>
      </c>
      <c r="K141" s="24" t="n">
        <v>920</v>
      </c>
      <c r="L141" s="25">
        <f>I141*K141</f>
        <v/>
      </c>
      <c r="M141" s="25">
        <f>I141*J141</f>
        <v/>
      </c>
      <c r="N141" s="25">
        <f>L141-M141</f>
        <v/>
      </c>
      <c r="O141" s="26">
        <f>IFERROR(N141/L141,0)</f>
        <v/>
      </c>
      <c r="P141">
        <f>YEAR(A141)</f>
        <v/>
      </c>
      <c r="Q141">
        <f>TEXT(A141,"mmm")</f>
        <v/>
      </c>
      <c r="R141">
        <f>IF(B141&lt;25,"18-24",IF(B141&lt;35,"25-34",IF(B141&lt;45,"35-44","45+")))</f>
        <v/>
      </c>
    </row>
    <row r="142">
      <c r="A142" s="23" t="n">
        <v>44486</v>
      </c>
      <c r="B142" s="3" t="n">
        <v>26</v>
      </c>
      <c r="C142" s="3" t="inlineStr">
        <is>
          <t>F</t>
        </is>
      </c>
      <c r="D142" s="3" t="inlineStr">
        <is>
          <t>Germany</t>
        </is>
      </c>
      <c r="E142" s="3" t="inlineStr">
        <is>
          <t>Hessen</t>
        </is>
      </c>
      <c r="F142" s="3" t="inlineStr">
        <is>
          <t>Road Bikes</t>
        </is>
      </c>
      <c r="G142" s="3" t="inlineStr">
        <is>
          <t>Red</t>
        </is>
      </c>
      <c r="H142" s="3" t="inlineStr">
        <is>
          <t>Road-250 Red, 58</t>
        </is>
      </c>
      <c r="I142" s="4" t="n">
        <v>1</v>
      </c>
      <c r="J142" s="24" t="n">
        <v>580</v>
      </c>
      <c r="K142" s="24" t="n">
        <v>920</v>
      </c>
      <c r="L142" s="25">
        <f>I142*K142</f>
        <v/>
      </c>
      <c r="M142" s="25">
        <f>I142*J142</f>
        <v/>
      </c>
      <c r="N142" s="25">
        <f>L142-M142</f>
        <v/>
      </c>
      <c r="O142" s="26">
        <f>IFERROR(N142/L142,0)</f>
        <v/>
      </c>
      <c r="P142">
        <f>YEAR(A142)</f>
        <v/>
      </c>
      <c r="Q142">
        <f>TEXT(A142,"mmm")</f>
        <v/>
      </c>
      <c r="R142">
        <f>IF(B142&lt;25,"18-24",IF(B142&lt;35,"25-34",IF(B142&lt;45,"35-44","45+")))</f>
        <v/>
      </c>
    </row>
    <row r="143">
      <c r="A143" s="23" t="n">
        <v>44488</v>
      </c>
      <c r="B143" s="3" t="n">
        <v>26</v>
      </c>
      <c r="C143" s="3" t="inlineStr">
        <is>
          <t>M</t>
        </is>
      </c>
      <c r="D143" s="3" t="inlineStr">
        <is>
          <t>Australia</t>
        </is>
      </c>
      <c r="E143" s="3" t="inlineStr">
        <is>
          <t>New South Wales</t>
        </is>
      </c>
      <c r="F143" s="3" t="inlineStr">
        <is>
          <t>Mountain Bikes</t>
        </is>
      </c>
      <c r="G143" s="3" t="inlineStr">
        <is>
          <t>Silver</t>
        </is>
      </c>
      <c r="H143" s="3" t="inlineStr">
        <is>
          <t>Mountain-400-W Silver, 46</t>
        </is>
      </c>
      <c r="I143" s="4" t="n">
        <v>2</v>
      </c>
      <c r="J143" s="24" t="n">
        <v>450</v>
      </c>
      <c r="K143" s="24" t="n">
        <v>720</v>
      </c>
      <c r="L143" s="25">
        <f>I143*K143</f>
        <v/>
      </c>
      <c r="M143" s="25">
        <f>I143*J143</f>
        <v/>
      </c>
      <c r="N143" s="25">
        <f>L143-M143</f>
        <v/>
      </c>
      <c r="O143" s="26">
        <f>IFERROR(N143/L143,0)</f>
        <v/>
      </c>
      <c r="P143">
        <f>YEAR(A143)</f>
        <v/>
      </c>
      <c r="Q143">
        <f>TEXT(A143,"mmm")</f>
        <v/>
      </c>
      <c r="R143">
        <f>IF(B143&lt;25,"18-24",IF(B143&lt;35,"25-34",IF(B143&lt;45,"35-44","45+")))</f>
        <v/>
      </c>
    </row>
    <row r="144">
      <c r="A144" s="23" t="n">
        <v>44489</v>
      </c>
      <c r="B144" s="3" t="n">
        <v>26</v>
      </c>
      <c r="C144" s="3" t="inlineStr">
        <is>
          <t>F</t>
        </is>
      </c>
      <c r="D144" s="3" t="inlineStr">
        <is>
          <t>Australia</t>
        </is>
      </c>
      <c r="E144" s="3" t="inlineStr">
        <is>
          <t>Queensland</t>
        </is>
      </c>
      <c r="F144" s="3" t="inlineStr">
        <is>
          <t>Mountain Bikes</t>
        </is>
      </c>
      <c r="G144" s="3" t="inlineStr">
        <is>
          <t>Silver</t>
        </is>
      </c>
      <c r="H144" s="3" t="inlineStr">
        <is>
          <t>Mountain-200 Silver, 38</t>
        </is>
      </c>
      <c r="I144" s="4" t="n">
        <v>3</v>
      </c>
      <c r="J144" s="24" t="n">
        <v>550</v>
      </c>
      <c r="K144" s="24" t="n">
        <v>850</v>
      </c>
      <c r="L144" s="25">
        <f>I144*K144</f>
        <v/>
      </c>
      <c r="M144" s="25">
        <f>I144*J144</f>
        <v/>
      </c>
      <c r="N144" s="25">
        <f>L144-M144</f>
        <v/>
      </c>
      <c r="O144" s="26">
        <f>IFERROR(N144/L144,0)</f>
        <v/>
      </c>
      <c r="P144">
        <f>YEAR(A144)</f>
        <v/>
      </c>
      <c r="Q144">
        <f>TEXT(A144,"mmm")</f>
        <v/>
      </c>
      <c r="R144">
        <f>IF(B144&lt;25,"18-24",IF(B144&lt;35,"25-34",IF(B144&lt;45,"35-44","45+")))</f>
        <v/>
      </c>
    </row>
    <row r="145">
      <c r="A145" s="23" t="n">
        <v>44489</v>
      </c>
      <c r="B145" s="3" t="n">
        <v>26</v>
      </c>
      <c r="C145" s="3" t="inlineStr">
        <is>
          <t>F</t>
        </is>
      </c>
      <c r="D145" s="3" t="inlineStr">
        <is>
          <t>France</t>
        </is>
      </c>
      <c r="E145" s="3" t="inlineStr">
        <is>
          <t>Seine (Paris)</t>
        </is>
      </c>
      <c r="F145" s="3" t="inlineStr">
        <is>
          <t>Road Bikes</t>
        </is>
      </c>
      <c r="G145" s="3" t="inlineStr">
        <is>
          <t>Red</t>
        </is>
      </c>
      <c r="H145" s="3" t="inlineStr">
        <is>
          <t>Road-250 Red, 58</t>
        </is>
      </c>
      <c r="I145" s="4" t="n">
        <v>1</v>
      </c>
      <c r="J145" s="24" t="n">
        <v>580</v>
      </c>
      <c r="K145" s="24" t="n">
        <v>920</v>
      </c>
      <c r="L145" s="25">
        <f>I145*K145</f>
        <v/>
      </c>
      <c r="M145" s="25">
        <f>I145*J145</f>
        <v/>
      </c>
      <c r="N145" s="25">
        <f>L145-M145</f>
        <v/>
      </c>
      <c r="O145" s="26">
        <f>IFERROR(N145/L145,0)</f>
        <v/>
      </c>
      <c r="P145">
        <f>YEAR(A145)</f>
        <v/>
      </c>
      <c r="Q145">
        <f>TEXT(A145,"mmm")</f>
        <v/>
      </c>
      <c r="R145">
        <f>IF(B145&lt;25,"18-24",IF(B145&lt;35,"25-34",IF(B145&lt;45,"35-44","45+")))</f>
        <v/>
      </c>
    </row>
    <row r="146">
      <c r="A146" s="23" t="n">
        <v>44499</v>
      </c>
      <c r="B146" s="3" t="n">
        <v>26</v>
      </c>
      <c r="C146" s="3" t="inlineStr">
        <is>
          <t>F</t>
        </is>
      </c>
      <c r="D146" s="3" t="inlineStr">
        <is>
          <t>Australia</t>
        </is>
      </c>
      <c r="E146" s="3" t="inlineStr">
        <is>
          <t>Queensland</t>
        </is>
      </c>
      <c r="F146" s="3" t="inlineStr">
        <is>
          <t>Mountain Bikes</t>
        </is>
      </c>
      <c r="G146" s="3" t="inlineStr">
        <is>
          <t>Silver</t>
        </is>
      </c>
      <c r="H146" s="3" t="inlineStr">
        <is>
          <t>Mountain-200 Silver, 38</t>
        </is>
      </c>
      <c r="I146" s="4" t="n">
        <v>3</v>
      </c>
      <c r="J146" s="24" t="n">
        <v>550</v>
      </c>
      <c r="K146" s="24" t="n">
        <v>850</v>
      </c>
      <c r="L146" s="25">
        <f>I146*K146</f>
        <v/>
      </c>
      <c r="M146" s="25">
        <f>I146*J146</f>
        <v/>
      </c>
      <c r="N146" s="25">
        <f>L146-M146</f>
        <v/>
      </c>
      <c r="O146" s="26">
        <f>IFERROR(N146/L146,0)</f>
        <v/>
      </c>
      <c r="P146">
        <f>YEAR(A146)</f>
        <v/>
      </c>
      <c r="Q146">
        <f>TEXT(A146,"mmm")</f>
        <v/>
      </c>
      <c r="R146">
        <f>IF(B146&lt;25,"18-24",IF(B146&lt;35,"25-34",IF(B146&lt;45,"35-44","45+")))</f>
        <v/>
      </c>
    </row>
    <row r="147">
      <c r="A147" s="23" t="n">
        <v>44517</v>
      </c>
      <c r="B147" s="3" t="n">
        <v>26</v>
      </c>
      <c r="C147" s="3" t="inlineStr">
        <is>
          <t>F</t>
        </is>
      </c>
      <c r="D147" s="3" t="inlineStr">
        <is>
          <t>Australia</t>
        </is>
      </c>
      <c r="E147" s="3" t="inlineStr">
        <is>
          <t>Queensland</t>
        </is>
      </c>
      <c r="F147" s="3" t="inlineStr">
        <is>
          <t>Road Bikes</t>
        </is>
      </c>
      <c r="G147" s="3" t="inlineStr">
        <is>
          <t>Black</t>
        </is>
      </c>
      <c r="H147" s="3" t="inlineStr">
        <is>
          <t>Road-750 Black, 52</t>
        </is>
      </c>
      <c r="I147" s="4" t="n">
        <v>2</v>
      </c>
      <c r="J147" s="24" t="n">
        <v>700</v>
      </c>
      <c r="K147" s="24" t="n">
        <v>1100</v>
      </c>
      <c r="L147" s="25">
        <f>I147*K147</f>
        <v/>
      </c>
      <c r="M147" s="25">
        <f>I147*J147</f>
        <v/>
      </c>
      <c r="N147" s="25">
        <f>L147-M147</f>
        <v/>
      </c>
      <c r="O147" s="26">
        <f>IFERROR(N147/L147,0)</f>
        <v/>
      </c>
      <c r="P147">
        <f>YEAR(A147)</f>
        <v/>
      </c>
      <c r="Q147">
        <f>TEXT(A147,"mmm")</f>
        <v/>
      </c>
      <c r="R147">
        <f>IF(B147&lt;25,"18-24",IF(B147&lt;35,"25-34",IF(B147&lt;45,"35-44","45+")))</f>
        <v/>
      </c>
    </row>
    <row r="148">
      <c r="A148" s="23" t="n">
        <v>44527</v>
      </c>
      <c r="B148" s="3" t="n">
        <v>26</v>
      </c>
      <c r="C148" s="3" t="inlineStr">
        <is>
          <t>M</t>
        </is>
      </c>
      <c r="D148" s="3" t="inlineStr">
        <is>
          <t>France</t>
        </is>
      </c>
      <c r="E148" s="3" t="inlineStr">
        <is>
          <t>Seine Saint Denis</t>
        </is>
      </c>
      <c r="F148" s="3" t="inlineStr">
        <is>
          <t>Road Bikes</t>
        </is>
      </c>
      <c r="G148" s="3" t="inlineStr">
        <is>
          <t>Yellow</t>
        </is>
      </c>
      <c r="H148" s="3" t="inlineStr">
        <is>
          <t>Road-350-W Yellow, 40</t>
        </is>
      </c>
      <c r="I148" s="4" t="n">
        <v>3</v>
      </c>
      <c r="J148" s="24" t="n">
        <v>530</v>
      </c>
      <c r="K148" s="24" t="n">
        <v>840</v>
      </c>
      <c r="L148" s="25">
        <f>I148*K148</f>
        <v/>
      </c>
      <c r="M148" s="25">
        <f>I148*J148</f>
        <v/>
      </c>
      <c r="N148" s="25">
        <f>L148-M148</f>
        <v/>
      </c>
      <c r="O148" s="26">
        <f>IFERROR(N148/L148,0)</f>
        <v/>
      </c>
      <c r="P148">
        <f>YEAR(A148)</f>
        <v/>
      </c>
      <c r="Q148">
        <f>TEXT(A148,"mmm")</f>
        <v/>
      </c>
      <c r="R148">
        <f>IF(B148&lt;25,"18-24",IF(B148&lt;35,"25-34",IF(B148&lt;45,"35-44","45+")))</f>
        <v/>
      </c>
    </row>
    <row r="149">
      <c r="A149" s="23" t="n">
        <v>44536</v>
      </c>
      <c r="B149" s="3" t="n">
        <v>26</v>
      </c>
      <c r="C149" s="3" t="inlineStr">
        <is>
          <t>F</t>
        </is>
      </c>
      <c r="D149" s="3" t="inlineStr">
        <is>
          <t>France</t>
        </is>
      </c>
      <c r="E149" s="3" t="inlineStr">
        <is>
          <t>Nord</t>
        </is>
      </c>
      <c r="F149" s="3" t="inlineStr">
        <is>
          <t>Road Bikes</t>
        </is>
      </c>
      <c r="G149" s="3" t="inlineStr">
        <is>
          <t>Yellow</t>
        </is>
      </c>
      <c r="H149" s="3" t="inlineStr">
        <is>
          <t>Road-350-W Yellow, 40</t>
        </is>
      </c>
      <c r="I149" s="4" t="n">
        <v>1</v>
      </c>
      <c r="J149" s="24" t="n">
        <v>530</v>
      </c>
      <c r="K149" s="24" t="n">
        <v>840</v>
      </c>
      <c r="L149" s="25">
        <f>I149*K149</f>
        <v/>
      </c>
      <c r="M149" s="25">
        <f>I149*J149</f>
        <v/>
      </c>
      <c r="N149" s="25">
        <f>L149-M149</f>
        <v/>
      </c>
      <c r="O149" s="26">
        <f>IFERROR(N149/L149,0)</f>
        <v/>
      </c>
      <c r="P149">
        <f>YEAR(A149)</f>
        <v/>
      </c>
      <c r="Q149">
        <f>TEXT(A149,"mmm")</f>
        <v/>
      </c>
      <c r="R149">
        <f>IF(B149&lt;25,"18-24",IF(B149&lt;35,"25-34",IF(B149&lt;45,"35-44","45+")))</f>
        <v/>
      </c>
    </row>
    <row r="150">
      <c r="A150" s="23" t="n">
        <v>44537</v>
      </c>
      <c r="B150" s="3" t="n">
        <v>26</v>
      </c>
      <c r="C150" s="3" t="inlineStr">
        <is>
          <t>M</t>
        </is>
      </c>
      <c r="D150" s="3" t="inlineStr">
        <is>
          <t>Australia</t>
        </is>
      </c>
      <c r="E150" s="3" t="inlineStr">
        <is>
          <t>Queensland</t>
        </is>
      </c>
      <c r="F150" s="3" t="inlineStr">
        <is>
          <t>Road Bikes</t>
        </is>
      </c>
      <c r="G150" s="3" t="inlineStr">
        <is>
          <t>Yellow</t>
        </is>
      </c>
      <c r="H150" s="3" t="inlineStr">
        <is>
          <t>Road-550-W Yellow, 42</t>
        </is>
      </c>
      <c r="I150" s="4" t="n">
        <v>4</v>
      </c>
      <c r="J150" s="24" t="n">
        <v>500</v>
      </c>
      <c r="K150" s="24" t="n">
        <v>800</v>
      </c>
      <c r="L150" s="25">
        <f>I150*K150</f>
        <v/>
      </c>
      <c r="M150" s="25">
        <f>I150*J150</f>
        <v/>
      </c>
      <c r="N150" s="25">
        <f>L150-M150</f>
        <v/>
      </c>
      <c r="O150" s="26">
        <f>IFERROR(N150/L150,0)</f>
        <v/>
      </c>
      <c r="P150">
        <f>YEAR(A150)</f>
        <v/>
      </c>
      <c r="Q150">
        <f>TEXT(A150,"mmm")</f>
        <v/>
      </c>
      <c r="R150">
        <f>IF(B150&lt;25,"18-24",IF(B150&lt;35,"25-34",IF(B150&lt;45,"35-44","45+")))</f>
        <v/>
      </c>
    </row>
    <row r="151">
      <c r="A151" s="23" t="n">
        <v>44539</v>
      </c>
      <c r="B151" s="3" t="n">
        <v>26</v>
      </c>
      <c r="C151" s="3" t="inlineStr">
        <is>
          <t>F</t>
        </is>
      </c>
      <c r="D151" s="3" t="inlineStr">
        <is>
          <t>Australia</t>
        </is>
      </c>
      <c r="E151" s="3" t="inlineStr">
        <is>
          <t>New South Wales</t>
        </is>
      </c>
      <c r="F151" s="3" t="inlineStr">
        <is>
          <t>Road Bikes</t>
        </is>
      </c>
      <c r="G151" s="3" t="inlineStr">
        <is>
          <t>Red</t>
        </is>
      </c>
      <c r="H151" s="3" t="inlineStr">
        <is>
          <t>Road-250 Red, 58</t>
        </is>
      </c>
      <c r="I151" s="4" t="n">
        <v>1</v>
      </c>
      <c r="J151" s="24" t="n">
        <v>580</v>
      </c>
      <c r="K151" s="24" t="n">
        <v>920</v>
      </c>
      <c r="L151" s="25">
        <f>I151*K151</f>
        <v/>
      </c>
      <c r="M151" s="25">
        <f>I151*J151</f>
        <v/>
      </c>
      <c r="N151" s="25">
        <f>L151-M151</f>
        <v/>
      </c>
      <c r="O151" s="26">
        <f>IFERROR(N151/L151,0)</f>
        <v/>
      </c>
      <c r="P151">
        <f>YEAR(A151)</f>
        <v/>
      </c>
      <c r="Q151">
        <f>TEXT(A151,"mmm")</f>
        <v/>
      </c>
      <c r="R151">
        <f>IF(B151&lt;25,"18-24",IF(B151&lt;35,"25-34",IF(B151&lt;45,"35-44","45+")))</f>
        <v/>
      </c>
    </row>
    <row r="152">
      <c r="A152" s="23" t="n">
        <v>44540</v>
      </c>
      <c r="B152" s="3" t="n">
        <v>26</v>
      </c>
      <c r="C152" s="3" t="inlineStr">
        <is>
          <t>M</t>
        </is>
      </c>
      <c r="D152" s="3" t="inlineStr">
        <is>
          <t>United Kingdom</t>
        </is>
      </c>
      <c r="E152" s="3" t="inlineStr">
        <is>
          <t>England</t>
        </is>
      </c>
      <c r="F152" s="3" t="inlineStr">
        <is>
          <t>Mountain Bikes</t>
        </is>
      </c>
      <c r="G152" s="3" t="inlineStr">
        <is>
          <t>Black</t>
        </is>
      </c>
      <c r="H152" s="3" t="inlineStr">
        <is>
          <t>Mountain-200 Black, 38</t>
        </is>
      </c>
      <c r="I152" s="4" t="n">
        <v>1</v>
      </c>
      <c r="J152" s="24" t="n">
        <v>550</v>
      </c>
      <c r="K152" s="24" t="n">
        <v>850</v>
      </c>
      <c r="L152" s="25">
        <f>I152*K152</f>
        <v/>
      </c>
      <c r="M152" s="25">
        <f>I152*J152</f>
        <v/>
      </c>
      <c r="N152" s="25">
        <f>L152-M152</f>
        <v/>
      </c>
      <c r="O152" s="26">
        <f>IFERROR(N152/L152,0)</f>
        <v/>
      </c>
      <c r="P152">
        <f>YEAR(A152)</f>
        <v/>
      </c>
      <c r="Q152">
        <f>TEXT(A152,"mmm")</f>
        <v/>
      </c>
      <c r="R152">
        <f>IF(B152&lt;25,"18-24",IF(B152&lt;35,"25-34",IF(B152&lt;45,"35-44","45+")))</f>
        <v/>
      </c>
    </row>
    <row r="153">
      <c r="A153" s="23" t="n">
        <v>44546</v>
      </c>
      <c r="B153" s="3" t="n">
        <v>26</v>
      </c>
      <c r="C153" s="3" t="inlineStr">
        <is>
          <t>F</t>
        </is>
      </c>
      <c r="D153" s="3" t="inlineStr">
        <is>
          <t>Germany</t>
        </is>
      </c>
      <c r="E153" s="3" t="inlineStr">
        <is>
          <t>Hessen</t>
        </is>
      </c>
      <c r="F153" s="3" t="inlineStr">
        <is>
          <t>Road Bikes</t>
        </is>
      </c>
      <c r="G153" s="3" t="inlineStr">
        <is>
          <t>Red</t>
        </is>
      </c>
      <c r="H153" s="3" t="inlineStr">
        <is>
          <t>Road-250 Red, 58</t>
        </is>
      </c>
      <c r="I153" s="4" t="n">
        <v>3</v>
      </c>
      <c r="J153" s="24" t="n">
        <v>580</v>
      </c>
      <c r="K153" s="24" t="n">
        <v>920</v>
      </c>
      <c r="L153" s="25">
        <f>I153*K153</f>
        <v/>
      </c>
      <c r="M153" s="25">
        <f>I153*J153</f>
        <v/>
      </c>
      <c r="N153" s="25">
        <f>L153-M153</f>
        <v/>
      </c>
      <c r="O153" s="26">
        <f>IFERROR(N153/L153,0)</f>
        <v/>
      </c>
      <c r="P153">
        <f>YEAR(A153)</f>
        <v/>
      </c>
      <c r="Q153">
        <f>TEXT(A153,"mmm")</f>
        <v/>
      </c>
      <c r="R153">
        <f>IF(B153&lt;25,"18-24",IF(B153&lt;35,"25-34",IF(B153&lt;45,"35-44","45+")))</f>
        <v/>
      </c>
    </row>
    <row r="154">
      <c r="A154" s="23" t="n">
        <v>44548</v>
      </c>
      <c r="B154" s="3" t="n">
        <v>26</v>
      </c>
      <c r="C154" s="3" t="inlineStr">
        <is>
          <t>F</t>
        </is>
      </c>
      <c r="D154" s="3" t="inlineStr">
        <is>
          <t>United Kingdom</t>
        </is>
      </c>
      <c r="E154" s="3" t="inlineStr">
        <is>
          <t>England</t>
        </is>
      </c>
      <c r="F154" s="3" t="inlineStr">
        <is>
          <t>Mountain Bikes</t>
        </is>
      </c>
      <c r="G154" s="3" t="inlineStr">
        <is>
          <t>Silver</t>
        </is>
      </c>
      <c r="H154" s="3" t="inlineStr">
        <is>
          <t>Mountain-400-W Silver, 42</t>
        </is>
      </c>
      <c r="I154" s="4" t="n">
        <v>3</v>
      </c>
      <c r="J154" s="24" t="n">
        <v>450</v>
      </c>
      <c r="K154" s="24" t="n">
        <v>720</v>
      </c>
      <c r="L154" s="25">
        <f>I154*K154</f>
        <v/>
      </c>
      <c r="M154" s="25">
        <f>I154*J154</f>
        <v/>
      </c>
      <c r="N154" s="25">
        <f>L154-M154</f>
        <v/>
      </c>
      <c r="O154" s="26">
        <f>IFERROR(N154/L154,0)</f>
        <v/>
      </c>
      <c r="P154">
        <f>YEAR(A154)</f>
        <v/>
      </c>
      <c r="Q154">
        <f>TEXT(A154,"mmm")</f>
        <v/>
      </c>
      <c r="R154">
        <f>IF(B154&lt;25,"18-24",IF(B154&lt;35,"25-34",IF(B154&lt;45,"35-44","45+")))</f>
        <v/>
      </c>
    </row>
    <row r="155">
      <c r="A155" s="23" t="n">
        <v>44548</v>
      </c>
      <c r="B155" s="3" t="n">
        <v>26</v>
      </c>
      <c r="C155" s="3" t="inlineStr">
        <is>
          <t>F</t>
        </is>
      </c>
      <c r="D155" s="3" t="inlineStr">
        <is>
          <t>France</t>
        </is>
      </c>
      <c r="E155" s="3" t="inlineStr">
        <is>
          <t>Hauts de Seine</t>
        </is>
      </c>
      <c r="F155" s="3" t="inlineStr">
        <is>
          <t>Road Bikes</t>
        </is>
      </c>
      <c r="G155" s="3" t="inlineStr">
        <is>
          <t>Red</t>
        </is>
      </c>
      <c r="H155" s="3" t="inlineStr">
        <is>
          <t>Road-250 Red, 52</t>
        </is>
      </c>
      <c r="I155" s="4" t="n">
        <v>3</v>
      </c>
      <c r="J155" s="24" t="n">
        <v>580</v>
      </c>
      <c r="K155" s="24" t="n">
        <v>920</v>
      </c>
      <c r="L155" s="25">
        <f>I155*K155</f>
        <v/>
      </c>
      <c r="M155" s="25">
        <f>I155*J155</f>
        <v/>
      </c>
      <c r="N155" s="25">
        <f>L155-M155</f>
        <v/>
      </c>
      <c r="O155" s="26">
        <f>IFERROR(N155/L155,0)</f>
        <v/>
      </c>
      <c r="P155">
        <f>YEAR(A155)</f>
        <v/>
      </c>
      <c r="Q155">
        <f>TEXT(A155,"mmm")</f>
        <v/>
      </c>
      <c r="R155">
        <f>IF(B155&lt;25,"18-24",IF(B155&lt;35,"25-34",IF(B155&lt;45,"35-44","45+")))</f>
        <v/>
      </c>
    </row>
    <row r="156">
      <c r="A156" s="23" t="n">
        <v>44548</v>
      </c>
      <c r="B156" s="3" t="n">
        <v>26</v>
      </c>
      <c r="C156" s="3" t="inlineStr">
        <is>
          <t>M</t>
        </is>
      </c>
      <c r="D156" s="3" t="inlineStr">
        <is>
          <t>France</t>
        </is>
      </c>
      <c r="E156" s="3" t="inlineStr">
        <is>
          <t>Seine (Paris)</t>
        </is>
      </c>
      <c r="F156" s="3" t="inlineStr">
        <is>
          <t>Mountain Bikes</t>
        </is>
      </c>
      <c r="G156" s="3" t="inlineStr">
        <is>
          <t>Black</t>
        </is>
      </c>
      <c r="H156" s="3" t="inlineStr">
        <is>
          <t>Mountain-200 Black, 46</t>
        </is>
      </c>
      <c r="I156" s="4" t="n">
        <v>1</v>
      </c>
      <c r="J156" s="24" t="n">
        <v>550</v>
      </c>
      <c r="K156" s="24" t="n">
        <v>850</v>
      </c>
      <c r="L156" s="25">
        <f>I156*K156</f>
        <v/>
      </c>
      <c r="M156" s="25">
        <f>I156*J156</f>
        <v/>
      </c>
      <c r="N156" s="25">
        <f>L156-M156</f>
        <v/>
      </c>
      <c r="O156" s="26">
        <f>IFERROR(N156/L156,0)</f>
        <v/>
      </c>
      <c r="P156">
        <f>YEAR(A156)</f>
        <v/>
      </c>
      <c r="Q156">
        <f>TEXT(A156,"mmm")</f>
        <v/>
      </c>
      <c r="R156">
        <f>IF(B156&lt;25,"18-24",IF(B156&lt;35,"25-34",IF(B156&lt;45,"35-44","45+")))</f>
        <v/>
      </c>
    </row>
    <row r="157">
      <c r="A157" s="23" t="n">
        <v>44551</v>
      </c>
      <c r="B157" s="3" t="n">
        <v>26</v>
      </c>
      <c r="C157" s="3" t="inlineStr">
        <is>
          <t>M</t>
        </is>
      </c>
      <c r="D157" s="3" t="inlineStr">
        <is>
          <t>France</t>
        </is>
      </c>
      <c r="E157" s="3" t="inlineStr">
        <is>
          <t>Somme</t>
        </is>
      </c>
      <c r="F157" s="3" t="inlineStr">
        <is>
          <t>Mountain Bikes</t>
        </is>
      </c>
      <c r="G157" s="3" t="inlineStr">
        <is>
          <t>Silver</t>
        </is>
      </c>
      <c r="H157" s="3" t="inlineStr">
        <is>
          <t>Mountain-200 Silver, 38</t>
        </is>
      </c>
      <c r="I157" s="4" t="n">
        <v>3</v>
      </c>
      <c r="J157" s="24" t="n">
        <v>550</v>
      </c>
      <c r="K157" s="24" t="n">
        <v>850</v>
      </c>
      <c r="L157" s="25">
        <f>I157*K157</f>
        <v/>
      </c>
      <c r="M157" s="25">
        <f>I157*J157</f>
        <v/>
      </c>
      <c r="N157" s="25">
        <f>L157-M157</f>
        <v/>
      </c>
      <c r="O157" s="26">
        <f>IFERROR(N157/L157,0)</f>
        <v/>
      </c>
      <c r="P157">
        <f>YEAR(A157)</f>
        <v/>
      </c>
      <c r="Q157">
        <f>TEXT(A157,"mmm")</f>
        <v/>
      </c>
      <c r="R157">
        <f>IF(B157&lt;25,"18-24",IF(B157&lt;35,"25-34",IF(B157&lt;45,"35-44","45+")))</f>
        <v/>
      </c>
    </row>
    <row r="158">
      <c r="A158" s="23" t="n">
        <v>44557</v>
      </c>
      <c r="B158" s="3" t="n">
        <v>26</v>
      </c>
      <c r="C158" s="3" t="inlineStr">
        <is>
          <t>F</t>
        </is>
      </c>
      <c r="D158" s="3" t="inlineStr">
        <is>
          <t>Australia</t>
        </is>
      </c>
      <c r="E158" s="3" t="inlineStr">
        <is>
          <t>Victoria</t>
        </is>
      </c>
      <c r="F158" s="3" t="inlineStr">
        <is>
          <t>Road Bikes</t>
        </is>
      </c>
      <c r="G158" s="3" t="inlineStr">
        <is>
          <t>Red</t>
        </is>
      </c>
      <c r="H158" s="3" t="inlineStr">
        <is>
          <t>Road-150 Red, 48</t>
        </is>
      </c>
      <c r="I158" s="4" t="n">
        <v>4</v>
      </c>
      <c r="J158" s="24" t="n">
        <v>900</v>
      </c>
      <c r="K158" s="24" t="n">
        <v>1400</v>
      </c>
      <c r="L158" s="25">
        <f>I158*K158</f>
        <v/>
      </c>
      <c r="M158" s="25">
        <f>I158*J158</f>
        <v/>
      </c>
      <c r="N158" s="25">
        <f>L158-M158</f>
        <v/>
      </c>
      <c r="O158" s="26">
        <f>IFERROR(N158/L158,0)</f>
        <v/>
      </c>
      <c r="P158">
        <f>YEAR(A158)</f>
        <v/>
      </c>
      <c r="Q158">
        <f>TEXT(A158,"mmm")</f>
        <v/>
      </c>
      <c r="R158">
        <f>IF(B158&lt;25,"18-24",IF(B158&lt;35,"25-34",IF(B158&lt;45,"35-44","45+")))</f>
        <v/>
      </c>
    </row>
    <row r="159">
      <c r="A159" s="23" t="n">
        <v>44557</v>
      </c>
      <c r="B159" s="3" t="n">
        <v>26</v>
      </c>
      <c r="C159" s="3" t="inlineStr">
        <is>
          <t>M</t>
        </is>
      </c>
      <c r="D159" s="3" t="inlineStr">
        <is>
          <t>France</t>
        </is>
      </c>
      <c r="E159" s="3" t="inlineStr">
        <is>
          <t>Essonne</t>
        </is>
      </c>
      <c r="F159" s="3" t="inlineStr">
        <is>
          <t>Road Bikes</t>
        </is>
      </c>
      <c r="G159" s="3" t="inlineStr">
        <is>
          <t>Black</t>
        </is>
      </c>
      <c r="H159" s="3" t="inlineStr">
        <is>
          <t>Road-250 Black, 52</t>
        </is>
      </c>
      <c r="I159" s="4" t="n">
        <v>1</v>
      </c>
      <c r="J159" s="24" t="n">
        <v>580</v>
      </c>
      <c r="K159" s="24" t="n">
        <v>920</v>
      </c>
      <c r="L159" s="25">
        <f>I159*K159</f>
        <v/>
      </c>
      <c r="M159" s="25">
        <f>I159*J159</f>
        <v/>
      </c>
      <c r="N159" s="25">
        <f>L159-M159</f>
        <v/>
      </c>
      <c r="O159" s="26">
        <f>IFERROR(N159/L159,0)</f>
        <v/>
      </c>
      <c r="P159">
        <f>YEAR(A159)</f>
        <v/>
      </c>
      <c r="Q159">
        <f>TEXT(A159,"mmm")</f>
        <v/>
      </c>
      <c r="R159">
        <f>IF(B159&lt;25,"18-24",IF(B159&lt;35,"25-34",IF(B159&lt;45,"35-44","45+")))</f>
        <v/>
      </c>
    </row>
    <row r="160">
      <c r="A160" s="23" t="n">
        <v>44559</v>
      </c>
      <c r="B160" s="3" t="n">
        <v>26</v>
      </c>
      <c r="C160" s="3" t="inlineStr">
        <is>
          <t>F</t>
        </is>
      </c>
      <c r="D160" s="3" t="inlineStr">
        <is>
          <t>United Kingdom</t>
        </is>
      </c>
      <c r="E160" s="3" t="inlineStr">
        <is>
          <t>England</t>
        </is>
      </c>
      <c r="F160" s="3" t="inlineStr">
        <is>
          <t>Road Bikes</t>
        </is>
      </c>
      <c r="G160" s="3" t="inlineStr">
        <is>
          <t>Yellow</t>
        </is>
      </c>
      <c r="H160" s="3" t="inlineStr">
        <is>
          <t>Road-350-W Yellow, 44</t>
        </is>
      </c>
      <c r="I160" s="4" t="n">
        <v>3</v>
      </c>
      <c r="J160" s="24" t="n">
        <v>530</v>
      </c>
      <c r="K160" s="24" t="n">
        <v>840</v>
      </c>
      <c r="L160" s="25">
        <f>I160*K160</f>
        <v/>
      </c>
      <c r="M160" s="25">
        <f>I160*J160</f>
        <v/>
      </c>
      <c r="N160" s="25">
        <f>L160-M160</f>
        <v/>
      </c>
      <c r="O160" s="26">
        <f>IFERROR(N160/L160,0)</f>
        <v/>
      </c>
      <c r="P160">
        <f>YEAR(A160)</f>
        <v/>
      </c>
      <c r="Q160">
        <f>TEXT(A160,"mmm")</f>
        <v/>
      </c>
      <c r="R160">
        <f>IF(B160&lt;25,"18-24",IF(B160&lt;35,"25-34",IF(B160&lt;45,"35-44","45+")))</f>
        <v/>
      </c>
    </row>
    <row r="161">
      <c r="A161" s="23" t="n">
        <v>44559</v>
      </c>
      <c r="B161" s="3" t="n">
        <v>26</v>
      </c>
      <c r="C161" s="3" t="inlineStr">
        <is>
          <t>F</t>
        </is>
      </c>
      <c r="D161" s="3" t="inlineStr">
        <is>
          <t>Canada</t>
        </is>
      </c>
      <c r="E161" s="3" t="inlineStr">
        <is>
          <t>British Columbia</t>
        </is>
      </c>
      <c r="F161" s="3" t="inlineStr">
        <is>
          <t>Road Bikes</t>
        </is>
      </c>
      <c r="G161" s="3" t="inlineStr">
        <is>
          <t>Red</t>
        </is>
      </c>
      <c r="H161" s="3" t="inlineStr">
        <is>
          <t>Road-250 Red, 44</t>
        </is>
      </c>
      <c r="I161" s="4" t="n">
        <v>1</v>
      </c>
      <c r="J161" s="24" t="n">
        <v>580</v>
      </c>
      <c r="K161" s="24" t="n">
        <v>920</v>
      </c>
      <c r="L161" s="25">
        <f>I161*K161</f>
        <v/>
      </c>
      <c r="M161" s="25">
        <f>I161*J161</f>
        <v/>
      </c>
      <c r="N161" s="25">
        <f>L161-M161</f>
        <v/>
      </c>
      <c r="O161" s="26">
        <f>IFERROR(N161/L161,0)</f>
        <v/>
      </c>
      <c r="P161">
        <f>YEAR(A161)</f>
        <v/>
      </c>
      <c r="Q161">
        <f>TEXT(A161,"mmm")</f>
        <v/>
      </c>
      <c r="R161">
        <f>IF(B161&lt;25,"18-24",IF(B161&lt;35,"25-34",IF(B161&lt;45,"35-44","45+")))</f>
        <v/>
      </c>
    </row>
    <row r="162">
      <c r="A162" s="23" t="n">
        <v>44561</v>
      </c>
      <c r="B162" s="3" t="n">
        <v>26</v>
      </c>
      <c r="C162" s="3" t="inlineStr">
        <is>
          <t>M</t>
        </is>
      </c>
      <c r="D162" s="3" t="inlineStr">
        <is>
          <t>Australia</t>
        </is>
      </c>
      <c r="E162" s="3" t="inlineStr">
        <is>
          <t>Queensland</t>
        </is>
      </c>
      <c r="F162" s="3" t="inlineStr">
        <is>
          <t>Road Bikes</t>
        </is>
      </c>
      <c r="G162" s="3" t="inlineStr">
        <is>
          <t>Yellow</t>
        </is>
      </c>
      <c r="H162" s="3" t="inlineStr">
        <is>
          <t>Road-550-W Yellow, 42</t>
        </is>
      </c>
      <c r="I162" s="4" t="n">
        <v>1</v>
      </c>
      <c r="J162" s="24" t="n">
        <v>500</v>
      </c>
      <c r="K162" s="24" t="n">
        <v>800</v>
      </c>
      <c r="L162" s="25">
        <f>I162*K162</f>
        <v/>
      </c>
      <c r="M162" s="25">
        <f>I162*J162</f>
        <v/>
      </c>
      <c r="N162" s="25">
        <f>L162-M162</f>
        <v/>
      </c>
      <c r="O162" s="26">
        <f>IFERROR(N162/L162,0)</f>
        <v/>
      </c>
      <c r="P162">
        <f>YEAR(A162)</f>
        <v/>
      </c>
      <c r="Q162">
        <f>TEXT(A162,"mmm")</f>
        <v/>
      </c>
      <c r="R162">
        <f>IF(B162&lt;25,"18-24",IF(B162&lt;35,"25-34",IF(B162&lt;45,"35-44","45+")))</f>
        <v/>
      </c>
    </row>
    <row r="163">
      <c r="A163" s="23" t="n">
        <v>44470</v>
      </c>
      <c r="B163" s="3" t="n">
        <v>27</v>
      </c>
      <c r="C163" s="3" t="inlineStr">
        <is>
          <t>M</t>
        </is>
      </c>
      <c r="D163" s="3" t="inlineStr">
        <is>
          <t>Canada</t>
        </is>
      </c>
      <c r="E163" s="3" t="inlineStr">
        <is>
          <t>British Columbia</t>
        </is>
      </c>
      <c r="F163" s="3" t="inlineStr">
        <is>
          <t>Road Bikes</t>
        </is>
      </c>
      <c r="G163" s="3" t="inlineStr">
        <is>
          <t>Red</t>
        </is>
      </c>
      <c r="H163" s="3" t="inlineStr">
        <is>
          <t>Road-650 Red, 44</t>
        </is>
      </c>
      <c r="I163" s="4" t="n">
        <v>2</v>
      </c>
      <c r="J163" s="24" t="n">
        <v>620</v>
      </c>
      <c r="K163" s="24" t="n">
        <v>980</v>
      </c>
      <c r="L163" s="25">
        <f>I163*K163</f>
        <v/>
      </c>
      <c r="M163" s="25">
        <f>I163*J163</f>
        <v/>
      </c>
      <c r="N163" s="25">
        <f>L163-M163</f>
        <v/>
      </c>
      <c r="O163" s="26">
        <f>IFERROR(N163/L163,0)</f>
        <v/>
      </c>
      <c r="P163">
        <f>YEAR(A163)</f>
        <v/>
      </c>
      <c r="Q163">
        <f>TEXT(A163,"mmm")</f>
        <v/>
      </c>
      <c r="R163">
        <f>IF(B163&lt;25,"18-24",IF(B163&lt;35,"25-34",IF(B163&lt;45,"35-44","45+")))</f>
        <v/>
      </c>
    </row>
    <row r="164">
      <c r="A164" s="23" t="n">
        <v>44478</v>
      </c>
      <c r="B164" s="3" t="n">
        <v>27</v>
      </c>
      <c r="C164" s="3" t="inlineStr">
        <is>
          <t>M</t>
        </is>
      </c>
      <c r="D164" s="3" t="inlineStr">
        <is>
          <t>France</t>
        </is>
      </c>
      <c r="E164" s="3" t="inlineStr">
        <is>
          <t>Loir et Cher</t>
        </is>
      </c>
      <c r="F164" s="3" t="inlineStr">
        <is>
          <t>Road Bikes</t>
        </is>
      </c>
      <c r="G164" s="3" t="inlineStr">
        <is>
          <t>Black</t>
        </is>
      </c>
      <c r="H164" s="3" t="inlineStr">
        <is>
          <t>Road-750 Black, 52</t>
        </is>
      </c>
      <c r="I164" s="4" t="n">
        <v>3</v>
      </c>
      <c r="J164" s="24" t="n">
        <v>700</v>
      </c>
      <c r="K164" s="24" t="n">
        <v>1100</v>
      </c>
      <c r="L164" s="25">
        <f>I164*K164</f>
        <v/>
      </c>
      <c r="M164" s="25">
        <f>I164*J164</f>
        <v/>
      </c>
      <c r="N164" s="25">
        <f>L164-M164</f>
        <v/>
      </c>
      <c r="O164" s="26">
        <f>IFERROR(N164/L164,0)</f>
        <v/>
      </c>
      <c r="P164">
        <f>YEAR(A164)</f>
        <v/>
      </c>
      <c r="Q164">
        <f>TEXT(A164,"mmm")</f>
        <v/>
      </c>
      <c r="R164">
        <f>IF(B164&lt;25,"18-24",IF(B164&lt;35,"25-34",IF(B164&lt;45,"35-44","45+")))</f>
        <v/>
      </c>
    </row>
    <row r="165">
      <c r="A165" s="23" t="n">
        <v>44481</v>
      </c>
      <c r="B165" s="3" t="n">
        <v>27</v>
      </c>
      <c r="C165" s="3" t="inlineStr">
        <is>
          <t>M</t>
        </is>
      </c>
      <c r="D165" s="3" t="inlineStr">
        <is>
          <t>United Kingdom</t>
        </is>
      </c>
      <c r="E165" s="3" t="inlineStr">
        <is>
          <t>England</t>
        </is>
      </c>
      <c r="F165" s="3" t="inlineStr">
        <is>
          <t>Road Bikes</t>
        </is>
      </c>
      <c r="G165" s="3" t="inlineStr">
        <is>
          <t>Black</t>
        </is>
      </c>
      <c r="H165" s="3" t="inlineStr">
        <is>
          <t>Road-750 Black, 48</t>
        </is>
      </c>
      <c r="I165" s="4" t="n">
        <v>2</v>
      </c>
      <c r="J165" s="24" t="n">
        <v>700</v>
      </c>
      <c r="K165" s="24" t="n">
        <v>1100</v>
      </c>
      <c r="L165" s="25">
        <f>I165*K165</f>
        <v/>
      </c>
      <c r="M165" s="25">
        <f>I165*J165</f>
        <v/>
      </c>
      <c r="N165" s="25">
        <f>L165-M165</f>
        <v/>
      </c>
      <c r="O165" s="26">
        <f>IFERROR(N165/L165,0)</f>
        <v/>
      </c>
      <c r="P165">
        <f>YEAR(A165)</f>
        <v/>
      </c>
      <c r="Q165">
        <f>TEXT(A165,"mmm")</f>
        <v/>
      </c>
      <c r="R165">
        <f>IF(B165&lt;25,"18-24",IF(B165&lt;35,"25-34",IF(B165&lt;45,"35-44","45+")))</f>
        <v/>
      </c>
    </row>
    <row r="166">
      <c r="A166" s="23" t="n">
        <v>44484</v>
      </c>
      <c r="B166" s="3" t="n">
        <v>27</v>
      </c>
      <c r="C166" s="3" t="inlineStr">
        <is>
          <t>F</t>
        </is>
      </c>
      <c r="D166" s="3" t="inlineStr">
        <is>
          <t>United Kingdom</t>
        </is>
      </c>
      <c r="E166" s="3" t="inlineStr">
        <is>
          <t>England</t>
        </is>
      </c>
      <c r="F166" s="3" t="inlineStr">
        <is>
          <t>Mountain Bikes</t>
        </is>
      </c>
      <c r="G166" s="3" t="inlineStr">
        <is>
          <t>Silver</t>
        </is>
      </c>
      <c r="H166" s="3" t="inlineStr">
        <is>
          <t>Mountain-200 Silver, 38</t>
        </is>
      </c>
      <c r="I166" s="4" t="n">
        <v>1</v>
      </c>
      <c r="J166" s="24" t="n">
        <v>550</v>
      </c>
      <c r="K166" s="24" t="n">
        <v>850</v>
      </c>
      <c r="L166" s="25">
        <f>I166*K166</f>
        <v/>
      </c>
      <c r="M166" s="25">
        <f>I166*J166</f>
        <v/>
      </c>
      <c r="N166" s="25">
        <f>L166-M166</f>
        <v/>
      </c>
      <c r="O166" s="26">
        <f>IFERROR(N166/L166,0)</f>
        <v/>
      </c>
      <c r="P166">
        <f>YEAR(A166)</f>
        <v/>
      </c>
      <c r="Q166">
        <f>TEXT(A166,"mmm")</f>
        <v/>
      </c>
      <c r="R166">
        <f>IF(B166&lt;25,"18-24",IF(B166&lt;35,"25-34",IF(B166&lt;45,"35-44","45+")))</f>
        <v/>
      </c>
    </row>
    <row r="167">
      <c r="A167" s="23" t="n">
        <v>44486</v>
      </c>
      <c r="B167" s="3" t="n">
        <v>27</v>
      </c>
      <c r="C167" s="3" t="inlineStr">
        <is>
          <t>M</t>
        </is>
      </c>
      <c r="D167" s="3" t="inlineStr">
        <is>
          <t>United States</t>
        </is>
      </c>
      <c r="E167" s="3" t="inlineStr">
        <is>
          <t>California</t>
        </is>
      </c>
      <c r="F167" s="3" t="inlineStr">
        <is>
          <t>Mountain Bikes</t>
        </is>
      </c>
      <c r="G167" s="3" t="inlineStr">
        <is>
          <t>Silver</t>
        </is>
      </c>
      <c r="H167" s="3" t="inlineStr">
        <is>
          <t>Mountain-200 Silver, 38</t>
        </is>
      </c>
      <c r="I167" s="4" t="n">
        <v>1</v>
      </c>
      <c r="J167" s="24" t="n">
        <v>550</v>
      </c>
      <c r="K167" s="24" t="n">
        <v>850</v>
      </c>
      <c r="L167" s="25">
        <f>I167*K167</f>
        <v/>
      </c>
      <c r="M167" s="25">
        <f>I167*J167</f>
        <v/>
      </c>
      <c r="N167" s="25">
        <f>L167-M167</f>
        <v/>
      </c>
      <c r="O167" s="26">
        <f>IFERROR(N167/L167,0)</f>
        <v/>
      </c>
      <c r="P167">
        <f>YEAR(A167)</f>
        <v/>
      </c>
      <c r="Q167">
        <f>TEXT(A167,"mmm")</f>
        <v/>
      </c>
      <c r="R167">
        <f>IF(B167&lt;25,"18-24",IF(B167&lt;35,"25-34",IF(B167&lt;45,"35-44","45+")))</f>
        <v/>
      </c>
    </row>
    <row r="168">
      <c r="A168" s="23" t="n">
        <v>44487</v>
      </c>
      <c r="B168" s="3" t="n">
        <v>27</v>
      </c>
      <c r="C168" s="3" t="inlineStr">
        <is>
          <t>M</t>
        </is>
      </c>
      <c r="D168" s="3" t="inlineStr">
        <is>
          <t>Australia</t>
        </is>
      </c>
      <c r="E168" s="3" t="inlineStr">
        <is>
          <t>New South Wales</t>
        </is>
      </c>
      <c r="F168" s="3" t="inlineStr">
        <is>
          <t>Mountain Bikes</t>
        </is>
      </c>
      <c r="G168" s="3" t="inlineStr">
        <is>
          <t>Black</t>
        </is>
      </c>
      <c r="H168" s="3" t="inlineStr">
        <is>
          <t>Mountain-200 Black, 38</t>
        </is>
      </c>
      <c r="I168" s="4" t="n">
        <v>1</v>
      </c>
      <c r="J168" s="24" t="n">
        <v>550</v>
      </c>
      <c r="K168" s="24" t="n">
        <v>850</v>
      </c>
      <c r="L168" s="25">
        <f>I168*K168</f>
        <v/>
      </c>
      <c r="M168" s="25">
        <f>I168*J168</f>
        <v/>
      </c>
      <c r="N168" s="25">
        <f>L168-M168</f>
        <v/>
      </c>
      <c r="O168" s="26">
        <f>IFERROR(N168/L168,0)</f>
        <v/>
      </c>
      <c r="P168">
        <f>YEAR(A168)</f>
        <v/>
      </c>
      <c r="Q168">
        <f>TEXT(A168,"mmm")</f>
        <v/>
      </c>
      <c r="R168">
        <f>IF(B168&lt;25,"18-24",IF(B168&lt;35,"25-34",IF(B168&lt;45,"35-44","45+")))</f>
        <v/>
      </c>
    </row>
    <row r="169">
      <c r="A169" s="23" t="n">
        <v>44489</v>
      </c>
      <c r="B169" s="3" t="n">
        <v>27</v>
      </c>
      <c r="C169" s="3" t="inlineStr">
        <is>
          <t>M</t>
        </is>
      </c>
      <c r="D169" s="3" t="inlineStr">
        <is>
          <t>United Kingdom</t>
        </is>
      </c>
      <c r="E169" s="3" t="inlineStr">
        <is>
          <t>England</t>
        </is>
      </c>
      <c r="F169" s="3" t="inlineStr">
        <is>
          <t>Road Bikes</t>
        </is>
      </c>
      <c r="G169" s="3" t="inlineStr">
        <is>
          <t>Black</t>
        </is>
      </c>
      <c r="H169" s="3" t="inlineStr">
        <is>
          <t>Road-750 Black, 48</t>
        </is>
      </c>
      <c r="I169" s="4" t="n">
        <v>1</v>
      </c>
      <c r="J169" s="24" t="n">
        <v>700</v>
      </c>
      <c r="K169" s="24" t="n">
        <v>1100</v>
      </c>
      <c r="L169" s="25">
        <f>I169*K169</f>
        <v/>
      </c>
      <c r="M169" s="25">
        <f>I169*J169</f>
        <v/>
      </c>
      <c r="N169" s="25">
        <f>L169-M169</f>
        <v/>
      </c>
      <c r="O169" s="26">
        <f>IFERROR(N169/L169,0)</f>
        <v/>
      </c>
      <c r="P169">
        <f>YEAR(A169)</f>
        <v/>
      </c>
      <c r="Q169">
        <f>TEXT(A169,"mmm")</f>
        <v/>
      </c>
      <c r="R169">
        <f>IF(B169&lt;25,"18-24",IF(B169&lt;35,"25-34",IF(B169&lt;45,"35-44","45+")))</f>
        <v/>
      </c>
    </row>
    <row r="170">
      <c r="A170" s="23" t="n">
        <v>44492</v>
      </c>
      <c r="B170" s="3" t="n">
        <v>27</v>
      </c>
      <c r="C170" s="3" t="inlineStr">
        <is>
          <t>F</t>
        </is>
      </c>
      <c r="D170" s="3" t="inlineStr">
        <is>
          <t>Australia</t>
        </is>
      </c>
      <c r="E170" s="3" t="inlineStr">
        <is>
          <t>South Australia</t>
        </is>
      </c>
      <c r="F170" s="3" t="inlineStr">
        <is>
          <t>Mountain Bikes</t>
        </is>
      </c>
      <c r="G170" s="3" t="inlineStr">
        <is>
          <t>Black</t>
        </is>
      </c>
      <c r="H170" s="3" t="inlineStr">
        <is>
          <t>Mountain-200 Black, 46</t>
        </is>
      </c>
      <c r="I170" s="4" t="n">
        <v>1</v>
      </c>
      <c r="J170" s="24" t="n">
        <v>550</v>
      </c>
      <c r="K170" s="24" t="n">
        <v>850</v>
      </c>
      <c r="L170" s="25">
        <f>I170*K170</f>
        <v/>
      </c>
      <c r="M170" s="25">
        <f>I170*J170</f>
        <v/>
      </c>
      <c r="N170" s="25">
        <f>L170-M170</f>
        <v/>
      </c>
      <c r="O170" s="26">
        <f>IFERROR(N170/L170,0)</f>
        <v/>
      </c>
      <c r="P170">
        <f>YEAR(A170)</f>
        <v/>
      </c>
      <c r="Q170">
        <f>TEXT(A170,"mmm")</f>
        <v/>
      </c>
      <c r="R170">
        <f>IF(B170&lt;25,"18-24",IF(B170&lt;35,"25-34",IF(B170&lt;45,"35-44","45+")))</f>
        <v/>
      </c>
    </row>
    <row r="171">
      <c r="A171" s="23" t="n">
        <v>44493</v>
      </c>
      <c r="B171" s="3" t="n">
        <v>27</v>
      </c>
      <c r="C171" s="3" t="inlineStr">
        <is>
          <t>F</t>
        </is>
      </c>
      <c r="D171" s="3" t="inlineStr">
        <is>
          <t>France</t>
        </is>
      </c>
      <c r="E171" s="3" t="inlineStr">
        <is>
          <t>Loiret</t>
        </is>
      </c>
      <c r="F171" s="3" t="inlineStr">
        <is>
          <t>Road Bikes</t>
        </is>
      </c>
      <c r="G171" s="3" t="inlineStr">
        <is>
          <t>Black</t>
        </is>
      </c>
      <c r="H171" s="3" t="inlineStr">
        <is>
          <t>Road-750 Black, 48</t>
        </is>
      </c>
      <c r="I171" s="4" t="n">
        <v>3</v>
      </c>
      <c r="J171" s="24" t="n">
        <v>700</v>
      </c>
      <c r="K171" s="24" t="n">
        <v>1100</v>
      </c>
      <c r="L171" s="25">
        <f>I171*K171</f>
        <v/>
      </c>
      <c r="M171" s="25">
        <f>I171*J171</f>
        <v/>
      </c>
      <c r="N171" s="25">
        <f>L171-M171</f>
        <v/>
      </c>
      <c r="O171" s="26">
        <f>IFERROR(N171/L171,0)</f>
        <v/>
      </c>
      <c r="P171">
        <f>YEAR(A171)</f>
        <v/>
      </c>
      <c r="Q171">
        <f>TEXT(A171,"mmm")</f>
        <v/>
      </c>
      <c r="R171">
        <f>IF(B171&lt;25,"18-24",IF(B171&lt;35,"25-34",IF(B171&lt;45,"35-44","45+")))</f>
        <v/>
      </c>
    </row>
    <row r="172">
      <c r="A172" s="23" t="n">
        <v>44493</v>
      </c>
      <c r="B172" s="3" t="n">
        <v>27</v>
      </c>
      <c r="C172" s="3" t="inlineStr">
        <is>
          <t>F</t>
        </is>
      </c>
      <c r="D172" s="3" t="inlineStr">
        <is>
          <t>United Kingdom</t>
        </is>
      </c>
      <c r="E172" s="3" t="inlineStr">
        <is>
          <t>England</t>
        </is>
      </c>
      <c r="F172" s="3" t="inlineStr">
        <is>
          <t>Road Bikes</t>
        </is>
      </c>
      <c r="G172" s="3" t="inlineStr">
        <is>
          <t>Yellow</t>
        </is>
      </c>
      <c r="H172" s="3" t="inlineStr">
        <is>
          <t>Road-350-W Yellow, 48</t>
        </is>
      </c>
      <c r="I172" s="4" t="n">
        <v>2</v>
      </c>
      <c r="J172" s="24" t="n">
        <v>530</v>
      </c>
      <c r="K172" s="24" t="n">
        <v>840</v>
      </c>
      <c r="L172" s="25">
        <f>I172*K172</f>
        <v/>
      </c>
      <c r="M172" s="25">
        <f>I172*J172</f>
        <v/>
      </c>
      <c r="N172" s="25">
        <f>L172-M172</f>
        <v/>
      </c>
      <c r="O172" s="26">
        <f>IFERROR(N172/L172,0)</f>
        <v/>
      </c>
      <c r="P172">
        <f>YEAR(A172)</f>
        <v/>
      </c>
      <c r="Q172">
        <f>TEXT(A172,"mmm")</f>
        <v/>
      </c>
      <c r="R172">
        <f>IF(B172&lt;25,"18-24",IF(B172&lt;35,"25-34",IF(B172&lt;45,"35-44","45+")))</f>
        <v/>
      </c>
    </row>
    <row r="173">
      <c r="A173" s="23" t="n">
        <v>44493</v>
      </c>
      <c r="B173" s="3" t="n">
        <v>27</v>
      </c>
      <c r="C173" s="3" t="inlineStr">
        <is>
          <t>M</t>
        </is>
      </c>
      <c r="D173" s="3" t="inlineStr">
        <is>
          <t>Canada</t>
        </is>
      </c>
      <c r="E173" s="3" t="inlineStr">
        <is>
          <t>British Columbia</t>
        </is>
      </c>
      <c r="F173" s="3" t="inlineStr">
        <is>
          <t>Road Bikes</t>
        </is>
      </c>
      <c r="G173" s="3" t="inlineStr">
        <is>
          <t>Red</t>
        </is>
      </c>
      <c r="H173" s="3" t="inlineStr">
        <is>
          <t>Road-650 Red, 44</t>
        </is>
      </c>
      <c r="I173" s="4" t="n">
        <v>1</v>
      </c>
      <c r="J173" s="24" t="n">
        <v>620</v>
      </c>
      <c r="K173" s="24" t="n">
        <v>980</v>
      </c>
      <c r="L173" s="25">
        <f>I173*K173</f>
        <v/>
      </c>
      <c r="M173" s="25">
        <f>I173*J173</f>
        <v/>
      </c>
      <c r="N173" s="25">
        <f>L173-M173</f>
        <v/>
      </c>
      <c r="O173" s="26">
        <f>IFERROR(N173/L173,0)</f>
        <v/>
      </c>
      <c r="P173">
        <f>YEAR(A173)</f>
        <v/>
      </c>
      <c r="Q173">
        <f>TEXT(A173,"mmm")</f>
        <v/>
      </c>
      <c r="R173">
        <f>IF(B173&lt;25,"18-24",IF(B173&lt;35,"25-34",IF(B173&lt;45,"35-44","45+")))</f>
        <v/>
      </c>
    </row>
    <row r="174">
      <c r="A174" s="23" t="n">
        <v>44495</v>
      </c>
      <c r="B174" s="3" t="n">
        <v>27</v>
      </c>
      <c r="C174" s="3" t="inlineStr">
        <is>
          <t>M</t>
        </is>
      </c>
      <c r="D174" s="3" t="inlineStr">
        <is>
          <t>United Kingdom</t>
        </is>
      </c>
      <c r="E174" s="3" t="inlineStr">
        <is>
          <t>England</t>
        </is>
      </c>
      <c r="F174" s="3" t="inlineStr">
        <is>
          <t>Mountain Bikes</t>
        </is>
      </c>
      <c r="G174" s="3" t="inlineStr">
        <is>
          <t>Silver</t>
        </is>
      </c>
      <c r="H174" s="3" t="inlineStr">
        <is>
          <t>Mountain-400-W Silver, 46</t>
        </is>
      </c>
      <c r="I174" s="4" t="n">
        <v>2</v>
      </c>
      <c r="J174" s="24" t="n">
        <v>450</v>
      </c>
      <c r="K174" s="24" t="n">
        <v>720</v>
      </c>
      <c r="L174" s="25">
        <f>I174*K174</f>
        <v/>
      </c>
      <c r="M174" s="25">
        <f>I174*J174</f>
        <v/>
      </c>
      <c r="N174" s="25">
        <f>L174-M174</f>
        <v/>
      </c>
      <c r="O174" s="26">
        <f>IFERROR(N174/L174,0)</f>
        <v/>
      </c>
      <c r="P174">
        <f>YEAR(A174)</f>
        <v/>
      </c>
      <c r="Q174">
        <f>TEXT(A174,"mmm")</f>
        <v/>
      </c>
      <c r="R174">
        <f>IF(B174&lt;25,"18-24",IF(B174&lt;35,"25-34",IF(B174&lt;45,"35-44","45+")))</f>
        <v/>
      </c>
    </row>
    <row r="175">
      <c r="A175" s="23" t="n">
        <v>44497</v>
      </c>
      <c r="B175" s="3" t="n">
        <v>27</v>
      </c>
      <c r="C175" s="3" t="inlineStr">
        <is>
          <t>M</t>
        </is>
      </c>
      <c r="D175" s="3" t="inlineStr">
        <is>
          <t>United Kingdom</t>
        </is>
      </c>
      <c r="E175" s="3" t="inlineStr">
        <is>
          <t>England</t>
        </is>
      </c>
      <c r="F175" s="3" t="inlineStr">
        <is>
          <t>Road Bikes</t>
        </is>
      </c>
      <c r="G175" s="3" t="inlineStr">
        <is>
          <t>Black</t>
        </is>
      </c>
      <c r="H175" s="3" t="inlineStr">
        <is>
          <t>Road-750 Black, 48</t>
        </is>
      </c>
      <c r="I175" s="4" t="n">
        <v>4</v>
      </c>
      <c r="J175" s="24" t="n">
        <v>700</v>
      </c>
      <c r="K175" s="24" t="n">
        <v>1100</v>
      </c>
      <c r="L175" s="25">
        <f>I175*K175</f>
        <v/>
      </c>
      <c r="M175" s="25">
        <f>I175*J175</f>
        <v/>
      </c>
      <c r="N175" s="25">
        <f>L175-M175</f>
        <v/>
      </c>
      <c r="O175" s="26">
        <f>IFERROR(N175/L175,0)</f>
        <v/>
      </c>
      <c r="P175">
        <f>YEAR(A175)</f>
        <v/>
      </c>
      <c r="Q175">
        <f>TEXT(A175,"mmm")</f>
        <v/>
      </c>
      <c r="R175">
        <f>IF(B175&lt;25,"18-24",IF(B175&lt;35,"25-34",IF(B175&lt;45,"35-44","45+")))</f>
        <v/>
      </c>
    </row>
    <row r="176">
      <c r="A176" s="23" t="n">
        <v>44498</v>
      </c>
      <c r="B176" s="3" t="n">
        <v>27</v>
      </c>
      <c r="C176" s="3" t="inlineStr">
        <is>
          <t>F</t>
        </is>
      </c>
      <c r="D176" s="3" t="inlineStr">
        <is>
          <t>Australia</t>
        </is>
      </c>
      <c r="E176" s="3" t="inlineStr">
        <is>
          <t>Queensland</t>
        </is>
      </c>
      <c r="F176" s="3" t="inlineStr">
        <is>
          <t>Mountain Bikes</t>
        </is>
      </c>
      <c r="G176" s="3" t="inlineStr">
        <is>
          <t>Silver</t>
        </is>
      </c>
      <c r="H176" s="3" t="inlineStr">
        <is>
          <t>Mountain-200 Silver, 38</t>
        </is>
      </c>
      <c r="I176" s="4" t="n">
        <v>1</v>
      </c>
      <c r="J176" s="24" t="n">
        <v>550</v>
      </c>
      <c r="K176" s="24" t="n">
        <v>850</v>
      </c>
      <c r="L176" s="25">
        <f>I176*K176</f>
        <v/>
      </c>
      <c r="M176" s="25">
        <f>I176*J176</f>
        <v/>
      </c>
      <c r="N176" s="25">
        <f>L176-M176</f>
        <v/>
      </c>
      <c r="O176" s="26">
        <f>IFERROR(N176/L176,0)</f>
        <v/>
      </c>
      <c r="P176">
        <f>YEAR(A176)</f>
        <v/>
      </c>
      <c r="Q176">
        <f>TEXT(A176,"mmm")</f>
        <v/>
      </c>
      <c r="R176">
        <f>IF(B176&lt;25,"18-24",IF(B176&lt;35,"25-34",IF(B176&lt;45,"35-44","45+")))</f>
        <v/>
      </c>
    </row>
    <row r="177">
      <c r="A177" s="23" t="n">
        <v>44499</v>
      </c>
      <c r="B177" s="3" t="n">
        <v>27</v>
      </c>
      <c r="C177" s="3" t="inlineStr">
        <is>
          <t>M</t>
        </is>
      </c>
      <c r="D177" s="3" t="inlineStr">
        <is>
          <t>France</t>
        </is>
      </c>
      <c r="E177" s="3" t="inlineStr">
        <is>
          <t>Essonne</t>
        </is>
      </c>
      <c r="F177" s="3" t="inlineStr">
        <is>
          <t>Mountain Bikes</t>
        </is>
      </c>
      <c r="G177" s="3" t="inlineStr">
        <is>
          <t>Black</t>
        </is>
      </c>
      <c r="H177" s="3" t="inlineStr">
        <is>
          <t>Mountain-200 Black, 42</t>
        </is>
      </c>
      <c r="I177" s="4" t="n">
        <v>2</v>
      </c>
      <c r="J177" s="24" t="n">
        <v>550</v>
      </c>
      <c r="K177" s="24" t="n">
        <v>850</v>
      </c>
      <c r="L177" s="25">
        <f>I177*K177</f>
        <v/>
      </c>
      <c r="M177" s="25">
        <f>I177*J177</f>
        <v/>
      </c>
      <c r="N177" s="25">
        <f>L177-M177</f>
        <v/>
      </c>
      <c r="O177" s="26">
        <f>IFERROR(N177/L177,0)</f>
        <v/>
      </c>
      <c r="P177">
        <f>YEAR(A177)</f>
        <v/>
      </c>
      <c r="Q177">
        <f>TEXT(A177,"mmm")</f>
        <v/>
      </c>
      <c r="R177">
        <f>IF(B177&lt;25,"18-24",IF(B177&lt;35,"25-34",IF(B177&lt;45,"35-44","45+")))</f>
        <v/>
      </c>
    </row>
    <row r="178">
      <c r="A178" s="23" t="n">
        <v>44518</v>
      </c>
      <c r="B178" s="3" t="n">
        <v>27</v>
      </c>
      <c r="C178" s="3" t="inlineStr">
        <is>
          <t>M</t>
        </is>
      </c>
      <c r="D178" s="3" t="inlineStr">
        <is>
          <t>France</t>
        </is>
      </c>
      <c r="E178" s="3" t="inlineStr">
        <is>
          <t>Seine (Paris)</t>
        </is>
      </c>
      <c r="F178" s="3" t="inlineStr">
        <is>
          <t>Road Bikes</t>
        </is>
      </c>
      <c r="G178" s="3" t="inlineStr">
        <is>
          <t>Yellow</t>
        </is>
      </c>
      <c r="H178" s="3" t="inlineStr">
        <is>
          <t>Road-550-W Yellow, 38</t>
        </is>
      </c>
      <c r="I178" s="4" t="n">
        <v>1</v>
      </c>
      <c r="J178" s="24" t="n">
        <v>500</v>
      </c>
      <c r="K178" s="24" t="n">
        <v>800</v>
      </c>
      <c r="L178" s="25">
        <f>I178*K178</f>
        <v/>
      </c>
      <c r="M178" s="25">
        <f>I178*J178</f>
        <v/>
      </c>
      <c r="N178" s="25">
        <f>L178-M178</f>
        <v/>
      </c>
      <c r="O178" s="26">
        <f>IFERROR(N178/L178,0)</f>
        <v/>
      </c>
      <c r="P178">
        <f>YEAR(A178)</f>
        <v/>
      </c>
      <c r="Q178">
        <f>TEXT(A178,"mmm")</f>
        <v/>
      </c>
      <c r="R178">
        <f>IF(B178&lt;25,"18-24",IF(B178&lt;35,"25-34",IF(B178&lt;45,"35-44","45+")))</f>
        <v/>
      </c>
    </row>
    <row r="179">
      <c r="A179" s="23" t="n">
        <v>44520</v>
      </c>
      <c r="B179" s="3" t="n">
        <v>27</v>
      </c>
      <c r="C179" s="3" t="inlineStr">
        <is>
          <t>M</t>
        </is>
      </c>
      <c r="D179" s="3" t="inlineStr">
        <is>
          <t>Australia</t>
        </is>
      </c>
      <c r="E179" s="3" t="inlineStr">
        <is>
          <t>Queensland</t>
        </is>
      </c>
      <c r="F179" s="3" t="inlineStr">
        <is>
          <t>Road Bikes</t>
        </is>
      </c>
      <c r="G179" s="3" t="inlineStr">
        <is>
          <t>Black</t>
        </is>
      </c>
      <c r="H179" s="3" t="inlineStr">
        <is>
          <t>Road-250 Black, 44</t>
        </is>
      </c>
      <c r="I179" s="4" t="n">
        <v>1</v>
      </c>
      <c r="J179" s="24" t="n">
        <v>580</v>
      </c>
      <c r="K179" s="24" t="n">
        <v>920</v>
      </c>
      <c r="L179" s="25">
        <f>I179*K179</f>
        <v/>
      </c>
      <c r="M179" s="25">
        <f>I179*J179</f>
        <v/>
      </c>
      <c r="N179" s="25">
        <f>L179-M179</f>
        <v/>
      </c>
      <c r="O179" s="26">
        <f>IFERROR(N179/L179,0)</f>
        <v/>
      </c>
      <c r="P179">
        <f>YEAR(A179)</f>
        <v/>
      </c>
      <c r="Q179">
        <f>TEXT(A179,"mmm")</f>
        <v/>
      </c>
      <c r="R179">
        <f>IF(B179&lt;25,"18-24",IF(B179&lt;35,"25-34",IF(B179&lt;45,"35-44","45+")))</f>
        <v/>
      </c>
    </row>
    <row r="180">
      <c r="A180" s="23" t="n">
        <v>44523</v>
      </c>
      <c r="B180" s="3" t="n">
        <v>27</v>
      </c>
      <c r="C180" s="3" t="inlineStr">
        <is>
          <t>F</t>
        </is>
      </c>
      <c r="D180" s="3" t="inlineStr">
        <is>
          <t>Australia</t>
        </is>
      </c>
      <c r="E180" s="3" t="inlineStr">
        <is>
          <t>New South Wales</t>
        </is>
      </c>
      <c r="F180" s="3" t="inlineStr">
        <is>
          <t>Road Bikes</t>
        </is>
      </c>
      <c r="G180" s="3" t="inlineStr">
        <is>
          <t>Yellow</t>
        </is>
      </c>
      <c r="H180" s="3" t="inlineStr">
        <is>
          <t>Road-550-W Yellow, 48</t>
        </is>
      </c>
      <c r="I180" s="4" t="n">
        <v>4</v>
      </c>
      <c r="J180" s="24" t="n">
        <v>500</v>
      </c>
      <c r="K180" s="24" t="n">
        <v>800</v>
      </c>
      <c r="L180" s="25">
        <f>I180*K180</f>
        <v/>
      </c>
      <c r="M180" s="25">
        <f>I180*J180</f>
        <v/>
      </c>
      <c r="N180" s="25">
        <f>L180-M180</f>
        <v/>
      </c>
      <c r="O180" s="26">
        <f>IFERROR(N180/L180,0)</f>
        <v/>
      </c>
      <c r="P180">
        <f>YEAR(A180)</f>
        <v/>
      </c>
      <c r="Q180">
        <f>TEXT(A180,"mmm")</f>
        <v/>
      </c>
      <c r="R180">
        <f>IF(B180&lt;25,"18-24",IF(B180&lt;35,"25-34",IF(B180&lt;45,"35-44","45+")))</f>
        <v/>
      </c>
    </row>
    <row r="181">
      <c r="A181" s="23" t="n">
        <v>44525</v>
      </c>
      <c r="B181" s="3" t="n">
        <v>27</v>
      </c>
      <c r="C181" s="3" t="inlineStr">
        <is>
          <t>M</t>
        </is>
      </c>
      <c r="D181" s="3" t="inlineStr">
        <is>
          <t>Australia</t>
        </is>
      </c>
      <c r="E181" s="3" t="inlineStr">
        <is>
          <t>Queensland</t>
        </is>
      </c>
      <c r="F181" s="3" t="inlineStr">
        <is>
          <t>Road Bikes</t>
        </is>
      </c>
      <c r="G181" s="3" t="inlineStr">
        <is>
          <t>Black</t>
        </is>
      </c>
      <c r="H181" s="3" t="inlineStr">
        <is>
          <t>Road-250 Black, 44</t>
        </is>
      </c>
      <c r="I181" s="4" t="n">
        <v>3</v>
      </c>
      <c r="J181" s="24" t="n">
        <v>580</v>
      </c>
      <c r="K181" s="24" t="n">
        <v>920</v>
      </c>
      <c r="L181" s="25">
        <f>I181*K181</f>
        <v/>
      </c>
      <c r="M181" s="25">
        <f>I181*J181</f>
        <v/>
      </c>
      <c r="N181" s="25">
        <f>L181-M181</f>
        <v/>
      </c>
      <c r="O181" s="26">
        <f>IFERROR(N181/L181,0)</f>
        <v/>
      </c>
      <c r="P181">
        <f>YEAR(A181)</f>
        <v/>
      </c>
      <c r="Q181">
        <f>TEXT(A181,"mmm")</f>
        <v/>
      </c>
      <c r="R181">
        <f>IF(B181&lt;25,"18-24",IF(B181&lt;35,"25-34",IF(B181&lt;45,"35-44","45+")))</f>
        <v/>
      </c>
    </row>
    <row r="182">
      <c r="A182" s="23" t="n">
        <v>44526</v>
      </c>
      <c r="B182" s="3" t="n">
        <v>27</v>
      </c>
      <c r="C182" s="3" t="inlineStr">
        <is>
          <t>F</t>
        </is>
      </c>
      <c r="D182" s="3" t="inlineStr">
        <is>
          <t>United Kingdom</t>
        </is>
      </c>
      <c r="E182" s="3" t="inlineStr">
        <is>
          <t>England</t>
        </is>
      </c>
      <c r="F182" s="3" t="inlineStr">
        <is>
          <t>Road Bikes</t>
        </is>
      </c>
      <c r="G182" s="3" t="inlineStr">
        <is>
          <t>Yellow</t>
        </is>
      </c>
      <c r="H182" s="3" t="inlineStr">
        <is>
          <t>Road-350-W Yellow, 48</t>
        </is>
      </c>
      <c r="I182" s="4" t="n">
        <v>3</v>
      </c>
      <c r="J182" s="24" t="n">
        <v>530</v>
      </c>
      <c r="K182" s="24" t="n">
        <v>840</v>
      </c>
      <c r="L182" s="25">
        <f>I182*K182</f>
        <v/>
      </c>
      <c r="M182" s="25">
        <f>I182*J182</f>
        <v/>
      </c>
      <c r="N182" s="25">
        <f>L182-M182</f>
        <v/>
      </c>
      <c r="O182" s="26">
        <f>IFERROR(N182/L182,0)</f>
        <v/>
      </c>
      <c r="P182">
        <f>YEAR(A182)</f>
        <v/>
      </c>
      <c r="Q182">
        <f>TEXT(A182,"mmm")</f>
        <v/>
      </c>
      <c r="R182">
        <f>IF(B182&lt;25,"18-24",IF(B182&lt;35,"25-34",IF(B182&lt;45,"35-44","45+")))</f>
        <v/>
      </c>
    </row>
    <row r="183">
      <c r="A183" s="23" t="n">
        <v>44527</v>
      </c>
      <c r="B183" s="3" t="n">
        <v>27</v>
      </c>
      <c r="C183" s="3" t="inlineStr">
        <is>
          <t>M</t>
        </is>
      </c>
      <c r="D183" s="3" t="inlineStr">
        <is>
          <t>Canada</t>
        </is>
      </c>
      <c r="E183" s="3" t="inlineStr">
        <is>
          <t>British Columbia</t>
        </is>
      </c>
      <c r="F183" s="3" t="inlineStr">
        <is>
          <t>Road Bikes</t>
        </is>
      </c>
      <c r="G183" s="3" t="inlineStr">
        <is>
          <t>Red</t>
        </is>
      </c>
      <c r="H183" s="3" t="inlineStr">
        <is>
          <t>Road-650 Red, 44</t>
        </is>
      </c>
      <c r="I183" s="4" t="n">
        <v>3</v>
      </c>
      <c r="J183" s="24" t="n">
        <v>620</v>
      </c>
      <c r="K183" s="24" t="n">
        <v>980</v>
      </c>
      <c r="L183" s="25">
        <f>I183*K183</f>
        <v/>
      </c>
      <c r="M183" s="25">
        <f>I183*J183</f>
        <v/>
      </c>
      <c r="N183" s="25">
        <f>L183-M183</f>
        <v/>
      </c>
      <c r="O183" s="26">
        <f>IFERROR(N183/L183,0)</f>
        <v/>
      </c>
      <c r="P183">
        <f>YEAR(A183)</f>
        <v/>
      </c>
      <c r="Q183">
        <f>TEXT(A183,"mmm")</f>
        <v/>
      </c>
      <c r="R183">
        <f>IF(B183&lt;25,"18-24",IF(B183&lt;35,"25-34",IF(B183&lt;45,"35-44","45+")))</f>
        <v/>
      </c>
    </row>
    <row r="184">
      <c r="A184" s="23" t="n">
        <v>44527</v>
      </c>
      <c r="B184" s="3" t="n">
        <v>27</v>
      </c>
      <c r="C184" s="3" t="inlineStr">
        <is>
          <t>M</t>
        </is>
      </c>
      <c r="D184" s="3" t="inlineStr">
        <is>
          <t>Canada</t>
        </is>
      </c>
      <c r="E184" s="3" t="inlineStr">
        <is>
          <t>British Columbia</t>
        </is>
      </c>
      <c r="F184" s="3" t="inlineStr">
        <is>
          <t>Road Bikes</t>
        </is>
      </c>
      <c r="G184" s="3" t="inlineStr">
        <is>
          <t>Red</t>
        </is>
      </c>
      <c r="H184" s="3" t="inlineStr">
        <is>
          <t>Road-650 Red, 44</t>
        </is>
      </c>
      <c r="I184" s="4" t="n">
        <v>2</v>
      </c>
      <c r="J184" s="24" t="n">
        <v>620</v>
      </c>
      <c r="K184" s="24" t="n">
        <v>980</v>
      </c>
      <c r="L184" s="25">
        <f>I184*K184</f>
        <v/>
      </c>
      <c r="M184" s="25">
        <f>I184*J184</f>
        <v/>
      </c>
      <c r="N184" s="25">
        <f>L184-M184</f>
        <v/>
      </c>
      <c r="O184" s="26">
        <f>IFERROR(N184/L184,0)</f>
        <v/>
      </c>
      <c r="P184">
        <f>YEAR(A184)</f>
        <v/>
      </c>
      <c r="Q184">
        <f>TEXT(A184,"mmm")</f>
        <v/>
      </c>
      <c r="R184">
        <f>IF(B184&lt;25,"18-24",IF(B184&lt;35,"25-34",IF(B184&lt;45,"35-44","45+")))</f>
        <v/>
      </c>
    </row>
    <row r="185">
      <c r="A185" s="23" t="n">
        <v>44527</v>
      </c>
      <c r="B185" s="3" t="n">
        <v>27</v>
      </c>
      <c r="C185" s="3" t="inlineStr">
        <is>
          <t>M</t>
        </is>
      </c>
      <c r="D185" s="3" t="inlineStr">
        <is>
          <t>Canada</t>
        </is>
      </c>
      <c r="E185" s="3" t="inlineStr">
        <is>
          <t>British Columbia</t>
        </is>
      </c>
      <c r="F185" s="3" t="inlineStr">
        <is>
          <t>Road Bikes</t>
        </is>
      </c>
      <c r="G185" s="3" t="inlineStr">
        <is>
          <t>Red</t>
        </is>
      </c>
      <c r="H185" s="3" t="inlineStr">
        <is>
          <t>Road-650 Red, 44</t>
        </is>
      </c>
      <c r="I185" s="4" t="n">
        <v>1</v>
      </c>
      <c r="J185" s="24" t="n">
        <v>620</v>
      </c>
      <c r="K185" s="24" t="n">
        <v>980</v>
      </c>
      <c r="L185" s="25">
        <f>I185*K185</f>
        <v/>
      </c>
      <c r="M185" s="25">
        <f>I185*J185</f>
        <v/>
      </c>
      <c r="N185" s="25">
        <f>L185-M185</f>
        <v/>
      </c>
      <c r="O185" s="26">
        <f>IFERROR(N185/L185,0)</f>
        <v/>
      </c>
      <c r="P185">
        <f>YEAR(A185)</f>
        <v/>
      </c>
      <c r="Q185">
        <f>TEXT(A185,"mmm")</f>
        <v/>
      </c>
      <c r="R185">
        <f>IF(B185&lt;25,"18-24",IF(B185&lt;35,"25-34",IF(B185&lt;45,"35-44","45+")))</f>
        <v/>
      </c>
    </row>
    <row r="186">
      <c r="A186" s="23" t="n">
        <v>44528</v>
      </c>
      <c r="B186" s="3" t="n">
        <v>27</v>
      </c>
      <c r="C186" s="3" t="inlineStr">
        <is>
          <t>F</t>
        </is>
      </c>
      <c r="D186" s="3" t="inlineStr">
        <is>
          <t>Canada</t>
        </is>
      </c>
      <c r="E186" s="3" t="inlineStr">
        <is>
          <t>British Columbia</t>
        </is>
      </c>
      <c r="F186" s="3" t="inlineStr">
        <is>
          <t>Road Bikes</t>
        </is>
      </c>
      <c r="G186" s="3" t="inlineStr">
        <is>
          <t>Yellow</t>
        </is>
      </c>
      <c r="H186" s="3" t="inlineStr">
        <is>
          <t>Road-550-W Yellow, 48</t>
        </is>
      </c>
      <c r="I186" s="4" t="n">
        <v>1</v>
      </c>
      <c r="J186" s="24" t="n">
        <v>500</v>
      </c>
      <c r="K186" s="24" t="n">
        <v>800</v>
      </c>
      <c r="L186" s="25">
        <f>I186*K186</f>
        <v/>
      </c>
      <c r="M186" s="25">
        <f>I186*J186</f>
        <v/>
      </c>
      <c r="N186" s="25">
        <f>L186-M186</f>
        <v/>
      </c>
      <c r="O186" s="26">
        <f>IFERROR(N186/L186,0)</f>
        <v/>
      </c>
      <c r="P186">
        <f>YEAR(A186)</f>
        <v/>
      </c>
      <c r="Q186">
        <f>TEXT(A186,"mmm")</f>
        <v/>
      </c>
      <c r="R186">
        <f>IF(B186&lt;25,"18-24",IF(B186&lt;35,"25-34",IF(B186&lt;45,"35-44","45+")))</f>
        <v/>
      </c>
    </row>
    <row r="187">
      <c r="A187" s="23" t="n">
        <v>44534</v>
      </c>
      <c r="B187" s="3" t="n">
        <v>27</v>
      </c>
      <c r="C187" s="3" t="inlineStr">
        <is>
          <t>M</t>
        </is>
      </c>
      <c r="D187" s="3" t="inlineStr">
        <is>
          <t>United States</t>
        </is>
      </c>
      <c r="E187" s="3" t="inlineStr">
        <is>
          <t>California</t>
        </is>
      </c>
      <c r="F187" s="3" t="inlineStr">
        <is>
          <t>Road Bikes</t>
        </is>
      </c>
      <c r="G187" s="3" t="inlineStr">
        <is>
          <t>Yellow</t>
        </is>
      </c>
      <c r="H187" s="3" t="inlineStr">
        <is>
          <t>Road-550-W Yellow, 42</t>
        </is>
      </c>
      <c r="I187" s="4" t="n">
        <v>1</v>
      </c>
      <c r="J187" s="24" t="n">
        <v>500</v>
      </c>
      <c r="K187" s="24" t="n">
        <v>800</v>
      </c>
      <c r="L187" s="25">
        <f>I187*K187</f>
        <v/>
      </c>
      <c r="M187" s="25">
        <f>I187*J187</f>
        <v/>
      </c>
      <c r="N187" s="25">
        <f>L187-M187</f>
        <v/>
      </c>
      <c r="O187" s="26">
        <f>IFERROR(N187/L187,0)</f>
        <v/>
      </c>
      <c r="P187">
        <f>YEAR(A187)</f>
        <v/>
      </c>
      <c r="Q187">
        <f>TEXT(A187,"mmm")</f>
        <v/>
      </c>
      <c r="R187">
        <f>IF(B187&lt;25,"18-24",IF(B187&lt;35,"25-34",IF(B187&lt;45,"35-44","45+")))</f>
        <v/>
      </c>
    </row>
    <row r="188">
      <c r="A188" s="23" t="n">
        <v>44535</v>
      </c>
      <c r="B188" s="3" t="n">
        <v>27</v>
      </c>
      <c r="C188" s="3" t="inlineStr">
        <is>
          <t>M</t>
        </is>
      </c>
      <c r="D188" s="3" t="inlineStr">
        <is>
          <t>France</t>
        </is>
      </c>
      <c r="E188" s="3" t="inlineStr">
        <is>
          <t>Yveline</t>
        </is>
      </c>
      <c r="F188" s="3" t="inlineStr">
        <is>
          <t>Road Bikes</t>
        </is>
      </c>
      <c r="G188" s="3" t="inlineStr">
        <is>
          <t>Red</t>
        </is>
      </c>
      <c r="H188" s="3" t="inlineStr">
        <is>
          <t>Road-150 Red, 44</t>
        </is>
      </c>
      <c r="I188" s="4" t="n">
        <v>3</v>
      </c>
      <c r="J188" s="24" t="n">
        <v>900</v>
      </c>
      <c r="K188" s="24" t="n">
        <v>1400</v>
      </c>
      <c r="L188" s="25">
        <f>I188*K188</f>
        <v/>
      </c>
      <c r="M188" s="25">
        <f>I188*J188</f>
        <v/>
      </c>
      <c r="N188" s="25">
        <f>L188-M188</f>
        <v/>
      </c>
      <c r="O188" s="26">
        <f>IFERROR(N188/L188,0)</f>
        <v/>
      </c>
      <c r="P188">
        <f>YEAR(A188)</f>
        <v/>
      </c>
      <c r="Q188">
        <f>TEXT(A188,"mmm")</f>
        <v/>
      </c>
      <c r="R188">
        <f>IF(B188&lt;25,"18-24",IF(B188&lt;35,"25-34",IF(B188&lt;45,"35-44","45+")))</f>
        <v/>
      </c>
    </row>
    <row r="189">
      <c r="A189" s="23" t="n">
        <v>44536</v>
      </c>
      <c r="B189" s="3" t="n">
        <v>27</v>
      </c>
      <c r="C189" s="3" t="inlineStr">
        <is>
          <t>M</t>
        </is>
      </c>
      <c r="D189" s="3" t="inlineStr">
        <is>
          <t>Canada</t>
        </is>
      </c>
      <c r="E189" s="3" t="inlineStr">
        <is>
          <t>British Columbia</t>
        </is>
      </c>
      <c r="F189" s="3" t="inlineStr">
        <is>
          <t>Mountain Bikes</t>
        </is>
      </c>
      <c r="G189" s="3" t="inlineStr">
        <is>
          <t>Black</t>
        </is>
      </c>
      <c r="H189" s="3" t="inlineStr">
        <is>
          <t>Mountain-200 Black, 46</t>
        </is>
      </c>
      <c r="I189" s="4" t="n">
        <v>1</v>
      </c>
      <c r="J189" s="24" t="n">
        <v>550</v>
      </c>
      <c r="K189" s="24" t="n">
        <v>850</v>
      </c>
      <c r="L189" s="25">
        <f>I189*K189</f>
        <v/>
      </c>
      <c r="M189" s="25">
        <f>I189*J189</f>
        <v/>
      </c>
      <c r="N189" s="25">
        <f>L189-M189</f>
        <v/>
      </c>
      <c r="O189" s="26">
        <f>IFERROR(N189/L189,0)</f>
        <v/>
      </c>
      <c r="P189">
        <f>YEAR(A189)</f>
        <v/>
      </c>
      <c r="Q189">
        <f>TEXT(A189,"mmm")</f>
        <v/>
      </c>
      <c r="R189">
        <f>IF(B189&lt;25,"18-24",IF(B189&lt;35,"25-34",IF(B189&lt;45,"35-44","45+")))</f>
        <v/>
      </c>
    </row>
    <row r="190">
      <c r="A190" s="23" t="n">
        <v>44538</v>
      </c>
      <c r="B190" s="3" t="n">
        <v>27</v>
      </c>
      <c r="C190" s="3" t="inlineStr">
        <is>
          <t>M</t>
        </is>
      </c>
      <c r="D190" s="3" t="inlineStr">
        <is>
          <t>Australia</t>
        </is>
      </c>
      <c r="E190" s="3" t="inlineStr">
        <is>
          <t>South Australia</t>
        </is>
      </c>
      <c r="F190" s="3" t="inlineStr">
        <is>
          <t>Road Bikes</t>
        </is>
      </c>
      <c r="G190" s="3" t="inlineStr">
        <is>
          <t>Yellow</t>
        </is>
      </c>
      <c r="H190" s="3" t="inlineStr">
        <is>
          <t>Road-550-W Yellow, 38</t>
        </is>
      </c>
      <c r="I190" s="4" t="n">
        <v>4</v>
      </c>
      <c r="J190" s="24" t="n">
        <v>500</v>
      </c>
      <c r="K190" s="24" t="n">
        <v>800</v>
      </c>
      <c r="L190" s="25">
        <f>I190*K190</f>
        <v/>
      </c>
      <c r="M190" s="25">
        <f>I190*J190</f>
        <v/>
      </c>
      <c r="N190" s="25">
        <f>L190-M190</f>
        <v/>
      </c>
      <c r="O190" s="26">
        <f>IFERROR(N190/L190,0)</f>
        <v/>
      </c>
      <c r="P190">
        <f>YEAR(A190)</f>
        <v/>
      </c>
      <c r="Q190">
        <f>TEXT(A190,"mmm")</f>
        <v/>
      </c>
      <c r="R190">
        <f>IF(B190&lt;25,"18-24",IF(B190&lt;35,"25-34",IF(B190&lt;45,"35-44","45+")))</f>
        <v/>
      </c>
    </row>
    <row r="191">
      <c r="A191" s="23" t="n">
        <v>44540</v>
      </c>
      <c r="B191" s="3" t="n">
        <v>27</v>
      </c>
      <c r="C191" s="3" t="inlineStr">
        <is>
          <t>F</t>
        </is>
      </c>
      <c r="D191" s="3" t="inlineStr">
        <is>
          <t>Australia</t>
        </is>
      </c>
      <c r="E191" s="3" t="inlineStr">
        <is>
          <t>Victoria</t>
        </is>
      </c>
      <c r="F191" s="3" t="inlineStr">
        <is>
          <t>Road Bikes</t>
        </is>
      </c>
      <c r="G191" s="3" t="inlineStr">
        <is>
          <t>Black</t>
        </is>
      </c>
      <c r="H191" s="3" t="inlineStr">
        <is>
          <t>Road-250 Black, 44</t>
        </is>
      </c>
      <c r="I191" s="4" t="n">
        <v>2</v>
      </c>
      <c r="J191" s="24" t="n">
        <v>580</v>
      </c>
      <c r="K191" s="24" t="n">
        <v>920</v>
      </c>
      <c r="L191" s="25">
        <f>I191*K191</f>
        <v/>
      </c>
      <c r="M191" s="25">
        <f>I191*J191</f>
        <v/>
      </c>
      <c r="N191" s="25">
        <f>L191-M191</f>
        <v/>
      </c>
      <c r="O191" s="26">
        <f>IFERROR(N191/L191,0)</f>
        <v/>
      </c>
      <c r="P191">
        <f>YEAR(A191)</f>
        <v/>
      </c>
      <c r="Q191">
        <f>TEXT(A191,"mmm")</f>
        <v/>
      </c>
      <c r="R191">
        <f>IF(B191&lt;25,"18-24",IF(B191&lt;35,"25-34",IF(B191&lt;45,"35-44","45+")))</f>
        <v/>
      </c>
    </row>
    <row r="192">
      <c r="A192" s="23" t="n">
        <v>44541</v>
      </c>
      <c r="B192" s="3" t="n">
        <v>27</v>
      </c>
      <c r="C192" s="3" t="inlineStr">
        <is>
          <t>F</t>
        </is>
      </c>
      <c r="D192" s="3" t="inlineStr">
        <is>
          <t>France</t>
        </is>
      </c>
      <c r="E192" s="3" t="inlineStr">
        <is>
          <t>Seine Saint Denis</t>
        </is>
      </c>
      <c r="F192" s="3" t="inlineStr">
        <is>
          <t>Road Bikes</t>
        </is>
      </c>
      <c r="G192" s="3" t="inlineStr">
        <is>
          <t>Red</t>
        </is>
      </c>
      <c r="H192" s="3" t="inlineStr">
        <is>
          <t>Road-250 Red, 58</t>
        </is>
      </c>
      <c r="I192" s="4" t="n">
        <v>3</v>
      </c>
      <c r="J192" s="24" t="n">
        <v>580</v>
      </c>
      <c r="K192" s="24" t="n">
        <v>920</v>
      </c>
      <c r="L192" s="25">
        <f>I192*K192</f>
        <v/>
      </c>
      <c r="M192" s="25">
        <f>I192*J192</f>
        <v/>
      </c>
      <c r="N192" s="25">
        <f>L192-M192</f>
        <v/>
      </c>
      <c r="O192" s="26">
        <f>IFERROR(N192/L192,0)</f>
        <v/>
      </c>
      <c r="P192">
        <f>YEAR(A192)</f>
        <v/>
      </c>
      <c r="Q192">
        <f>TEXT(A192,"mmm")</f>
        <v/>
      </c>
      <c r="R192">
        <f>IF(B192&lt;25,"18-24",IF(B192&lt;35,"25-34",IF(B192&lt;45,"35-44","45+")))</f>
        <v/>
      </c>
    </row>
    <row r="193">
      <c r="A193" s="23" t="n">
        <v>44541</v>
      </c>
      <c r="B193" s="3" t="n">
        <v>27</v>
      </c>
      <c r="C193" s="3" t="inlineStr">
        <is>
          <t>M</t>
        </is>
      </c>
      <c r="D193" s="3" t="inlineStr">
        <is>
          <t>Canada</t>
        </is>
      </c>
      <c r="E193" s="3" t="inlineStr">
        <is>
          <t>British Columbia</t>
        </is>
      </c>
      <c r="F193" s="3" t="inlineStr">
        <is>
          <t>Mountain Bikes</t>
        </is>
      </c>
      <c r="G193" s="3" t="inlineStr">
        <is>
          <t>Black</t>
        </is>
      </c>
      <c r="H193" s="3" t="inlineStr">
        <is>
          <t>Mountain-200 Black, 46</t>
        </is>
      </c>
      <c r="I193" s="4" t="n">
        <v>1</v>
      </c>
      <c r="J193" s="24" t="n">
        <v>550</v>
      </c>
      <c r="K193" s="24" t="n">
        <v>850</v>
      </c>
      <c r="L193" s="25">
        <f>I193*K193</f>
        <v/>
      </c>
      <c r="M193" s="25">
        <f>I193*J193</f>
        <v/>
      </c>
      <c r="N193" s="25">
        <f>L193-M193</f>
        <v/>
      </c>
      <c r="O193" s="26">
        <f>IFERROR(N193/L193,0)</f>
        <v/>
      </c>
      <c r="P193">
        <f>YEAR(A193)</f>
        <v/>
      </c>
      <c r="Q193">
        <f>TEXT(A193,"mmm")</f>
        <v/>
      </c>
      <c r="R193">
        <f>IF(B193&lt;25,"18-24",IF(B193&lt;35,"25-34",IF(B193&lt;45,"35-44","45+")))</f>
        <v/>
      </c>
    </row>
    <row r="194">
      <c r="A194" s="23" t="n">
        <v>44541</v>
      </c>
      <c r="B194" s="3" t="n">
        <v>27</v>
      </c>
      <c r="C194" s="3" t="inlineStr">
        <is>
          <t>F</t>
        </is>
      </c>
      <c r="D194" s="3" t="inlineStr">
        <is>
          <t>France</t>
        </is>
      </c>
      <c r="E194" s="3" t="inlineStr">
        <is>
          <t>Nord</t>
        </is>
      </c>
      <c r="F194" s="3" t="inlineStr">
        <is>
          <t>Road Bikes</t>
        </is>
      </c>
      <c r="G194" s="3" t="inlineStr">
        <is>
          <t>Black</t>
        </is>
      </c>
      <c r="H194" s="3" t="inlineStr">
        <is>
          <t>Road-250 Black, 52</t>
        </is>
      </c>
      <c r="I194" s="4" t="n">
        <v>1</v>
      </c>
      <c r="J194" s="24" t="n">
        <v>580</v>
      </c>
      <c r="K194" s="24" t="n">
        <v>920</v>
      </c>
      <c r="L194" s="25">
        <f>I194*K194</f>
        <v/>
      </c>
      <c r="M194" s="25">
        <f>I194*J194</f>
        <v/>
      </c>
      <c r="N194" s="25">
        <f>L194-M194</f>
        <v/>
      </c>
      <c r="O194" s="26">
        <f>IFERROR(N194/L194,0)</f>
        <v/>
      </c>
      <c r="P194">
        <f>YEAR(A194)</f>
        <v/>
      </c>
      <c r="Q194">
        <f>TEXT(A194,"mmm")</f>
        <v/>
      </c>
      <c r="R194">
        <f>IF(B194&lt;25,"18-24",IF(B194&lt;35,"25-34",IF(B194&lt;45,"35-44","45+")))</f>
        <v/>
      </c>
    </row>
    <row r="195">
      <c r="A195" s="23" t="n">
        <v>44542</v>
      </c>
      <c r="B195" s="3" t="n">
        <v>27</v>
      </c>
      <c r="C195" s="3" t="inlineStr">
        <is>
          <t>M</t>
        </is>
      </c>
      <c r="D195" s="3" t="inlineStr">
        <is>
          <t>Australia</t>
        </is>
      </c>
      <c r="E195" s="3" t="inlineStr">
        <is>
          <t>Victoria</t>
        </is>
      </c>
      <c r="F195" s="3" t="inlineStr">
        <is>
          <t>Road Bikes</t>
        </is>
      </c>
      <c r="G195" s="3" t="inlineStr">
        <is>
          <t>Black</t>
        </is>
      </c>
      <c r="H195" s="3" t="inlineStr">
        <is>
          <t>Road-750 Black, 58</t>
        </is>
      </c>
      <c r="I195" s="4" t="n">
        <v>4</v>
      </c>
      <c r="J195" s="24" t="n">
        <v>700</v>
      </c>
      <c r="K195" s="24" t="n">
        <v>1100</v>
      </c>
      <c r="L195" s="25">
        <f>I195*K195</f>
        <v/>
      </c>
      <c r="M195" s="25">
        <f>I195*J195</f>
        <v/>
      </c>
      <c r="N195" s="25">
        <f>L195-M195</f>
        <v/>
      </c>
      <c r="O195" s="26">
        <f>IFERROR(N195/L195,0)</f>
        <v/>
      </c>
      <c r="P195">
        <f>YEAR(A195)</f>
        <v/>
      </c>
      <c r="Q195">
        <f>TEXT(A195,"mmm")</f>
        <v/>
      </c>
      <c r="R195">
        <f>IF(B195&lt;25,"18-24",IF(B195&lt;35,"25-34",IF(B195&lt;45,"35-44","45+")))</f>
        <v/>
      </c>
    </row>
    <row r="196">
      <c r="A196" s="23" t="n">
        <v>44543</v>
      </c>
      <c r="B196" s="3" t="n">
        <v>27</v>
      </c>
      <c r="C196" s="3" t="inlineStr">
        <is>
          <t>M</t>
        </is>
      </c>
      <c r="D196" s="3" t="inlineStr">
        <is>
          <t>Australia</t>
        </is>
      </c>
      <c r="E196" s="3" t="inlineStr">
        <is>
          <t>Victoria</t>
        </is>
      </c>
      <c r="F196" s="3" t="inlineStr">
        <is>
          <t>Road Bikes</t>
        </is>
      </c>
      <c r="G196" s="3" t="inlineStr">
        <is>
          <t>Black</t>
        </is>
      </c>
      <c r="H196" s="3" t="inlineStr">
        <is>
          <t>Road-750 Black, 58</t>
        </is>
      </c>
      <c r="I196" s="4" t="n">
        <v>1</v>
      </c>
      <c r="J196" s="24" t="n">
        <v>700</v>
      </c>
      <c r="K196" s="24" t="n">
        <v>1100</v>
      </c>
      <c r="L196" s="25">
        <f>I196*K196</f>
        <v/>
      </c>
      <c r="M196" s="25">
        <f>I196*J196</f>
        <v/>
      </c>
      <c r="N196" s="25">
        <f>L196-M196</f>
        <v/>
      </c>
      <c r="O196" s="26">
        <f>IFERROR(N196/L196,0)</f>
        <v/>
      </c>
      <c r="P196">
        <f>YEAR(A196)</f>
        <v/>
      </c>
      <c r="Q196">
        <f>TEXT(A196,"mmm")</f>
        <v/>
      </c>
      <c r="R196">
        <f>IF(B196&lt;25,"18-24",IF(B196&lt;35,"25-34",IF(B196&lt;45,"35-44","45+")))</f>
        <v/>
      </c>
    </row>
    <row r="197">
      <c r="A197" s="23" t="n">
        <v>44546</v>
      </c>
      <c r="B197" s="3" t="n">
        <v>27</v>
      </c>
      <c r="C197" s="3" t="inlineStr">
        <is>
          <t>F</t>
        </is>
      </c>
      <c r="D197" s="3" t="inlineStr">
        <is>
          <t>France</t>
        </is>
      </c>
      <c r="E197" s="3" t="inlineStr">
        <is>
          <t>Seine et Marne</t>
        </is>
      </c>
      <c r="F197" s="3" t="inlineStr">
        <is>
          <t>Mountain Bikes</t>
        </is>
      </c>
      <c r="G197" s="3" t="inlineStr">
        <is>
          <t>Silver</t>
        </is>
      </c>
      <c r="H197" s="3" t="inlineStr">
        <is>
          <t>Mountain-200 Silver, 46</t>
        </is>
      </c>
      <c r="I197" s="4" t="n">
        <v>1</v>
      </c>
      <c r="J197" s="24" t="n">
        <v>550</v>
      </c>
      <c r="K197" s="24" t="n">
        <v>850</v>
      </c>
      <c r="L197" s="25">
        <f>I197*K197</f>
        <v/>
      </c>
      <c r="M197" s="25">
        <f>I197*J197</f>
        <v/>
      </c>
      <c r="N197" s="25">
        <f>L197-M197</f>
        <v/>
      </c>
      <c r="O197" s="26">
        <f>IFERROR(N197/L197,0)</f>
        <v/>
      </c>
      <c r="P197">
        <f>YEAR(A197)</f>
        <v/>
      </c>
      <c r="Q197">
        <f>TEXT(A197,"mmm")</f>
        <v/>
      </c>
      <c r="R197">
        <f>IF(B197&lt;25,"18-24",IF(B197&lt;35,"25-34",IF(B197&lt;45,"35-44","45+")))</f>
        <v/>
      </c>
    </row>
    <row r="198">
      <c r="A198" s="23" t="n">
        <v>44547</v>
      </c>
      <c r="B198" s="3" t="n">
        <v>27</v>
      </c>
      <c r="C198" s="3" t="inlineStr">
        <is>
          <t>M</t>
        </is>
      </c>
      <c r="D198" s="3" t="inlineStr">
        <is>
          <t>Australia</t>
        </is>
      </c>
      <c r="E198" s="3" t="inlineStr">
        <is>
          <t>Queensland</t>
        </is>
      </c>
      <c r="F198" s="3" t="inlineStr">
        <is>
          <t>Road Bikes</t>
        </is>
      </c>
      <c r="G198" s="3" t="inlineStr">
        <is>
          <t>Black</t>
        </is>
      </c>
      <c r="H198" s="3" t="inlineStr">
        <is>
          <t>Road-250 Black, 44</t>
        </is>
      </c>
      <c r="I198" s="4" t="n">
        <v>4</v>
      </c>
      <c r="J198" s="24" t="n">
        <v>580</v>
      </c>
      <c r="K198" s="24" t="n">
        <v>920</v>
      </c>
      <c r="L198" s="25">
        <f>I198*K198</f>
        <v/>
      </c>
      <c r="M198" s="25">
        <f>I198*J198</f>
        <v/>
      </c>
      <c r="N198" s="25">
        <f>L198-M198</f>
        <v/>
      </c>
      <c r="O198" s="26">
        <f>IFERROR(N198/L198,0)</f>
        <v/>
      </c>
      <c r="P198">
        <f>YEAR(A198)</f>
        <v/>
      </c>
      <c r="Q198">
        <f>TEXT(A198,"mmm")</f>
        <v/>
      </c>
      <c r="R198">
        <f>IF(B198&lt;25,"18-24",IF(B198&lt;35,"25-34",IF(B198&lt;45,"35-44","45+")))</f>
        <v/>
      </c>
    </row>
    <row r="199">
      <c r="A199" s="23" t="n">
        <v>44550</v>
      </c>
      <c r="B199" s="3" t="n">
        <v>27</v>
      </c>
      <c r="C199" s="3" t="inlineStr">
        <is>
          <t>F</t>
        </is>
      </c>
      <c r="D199" s="3" t="inlineStr">
        <is>
          <t>Canada</t>
        </is>
      </c>
      <c r="E199" s="3" t="inlineStr">
        <is>
          <t>British Columbia</t>
        </is>
      </c>
      <c r="F199" s="3" t="inlineStr">
        <is>
          <t>Road Bikes</t>
        </is>
      </c>
      <c r="G199" s="3" t="inlineStr">
        <is>
          <t>Yellow</t>
        </is>
      </c>
      <c r="H199" s="3" t="inlineStr">
        <is>
          <t>Road-550-W Yellow, 48</t>
        </is>
      </c>
      <c r="I199" s="4" t="n">
        <v>1</v>
      </c>
      <c r="J199" s="24" t="n">
        <v>500</v>
      </c>
      <c r="K199" s="24" t="n">
        <v>800</v>
      </c>
      <c r="L199" s="25">
        <f>I199*K199</f>
        <v/>
      </c>
      <c r="M199" s="25">
        <f>I199*J199</f>
        <v/>
      </c>
      <c r="N199" s="25">
        <f>L199-M199</f>
        <v/>
      </c>
      <c r="O199" s="26">
        <f>IFERROR(N199/L199,0)</f>
        <v/>
      </c>
      <c r="P199">
        <f>YEAR(A199)</f>
        <v/>
      </c>
      <c r="Q199">
        <f>TEXT(A199,"mmm")</f>
        <v/>
      </c>
      <c r="R199">
        <f>IF(B199&lt;25,"18-24",IF(B199&lt;35,"25-34",IF(B199&lt;45,"35-44","45+")))</f>
        <v/>
      </c>
    </row>
    <row r="200">
      <c r="A200" s="23" t="n">
        <v>44551</v>
      </c>
      <c r="B200" s="3" t="n">
        <v>27</v>
      </c>
      <c r="C200" s="3" t="inlineStr">
        <is>
          <t>F</t>
        </is>
      </c>
      <c r="D200" s="3" t="inlineStr">
        <is>
          <t>Australia</t>
        </is>
      </c>
      <c r="E200" s="3" t="inlineStr">
        <is>
          <t>Queensland</t>
        </is>
      </c>
      <c r="F200" s="3" t="inlineStr">
        <is>
          <t>Road Bikes</t>
        </is>
      </c>
      <c r="G200" s="3" t="inlineStr">
        <is>
          <t>Red</t>
        </is>
      </c>
      <c r="H200" s="3" t="inlineStr">
        <is>
          <t>Road-250 Red, 58</t>
        </is>
      </c>
      <c r="I200" s="4" t="n">
        <v>1</v>
      </c>
      <c r="J200" s="24" t="n">
        <v>580</v>
      </c>
      <c r="K200" s="24" t="n">
        <v>920</v>
      </c>
      <c r="L200" s="25">
        <f>I200*K200</f>
        <v/>
      </c>
      <c r="M200" s="25">
        <f>I200*J200</f>
        <v/>
      </c>
      <c r="N200" s="25">
        <f>L200-M200</f>
        <v/>
      </c>
      <c r="O200" s="26">
        <f>IFERROR(N200/L200,0)</f>
        <v/>
      </c>
      <c r="P200">
        <f>YEAR(A200)</f>
        <v/>
      </c>
      <c r="Q200">
        <f>TEXT(A200,"mmm")</f>
        <v/>
      </c>
      <c r="R200">
        <f>IF(B200&lt;25,"18-24",IF(B200&lt;35,"25-34",IF(B200&lt;45,"35-44","45+")))</f>
        <v/>
      </c>
    </row>
    <row r="201">
      <c r="A201" s="23" t="n">
        <v>44552</v>
      </c>
      <c r="B201" s="3" t="n">
        <v>27</v>
      </c>
      <c r="C201" s="3" t="inlineStr">
        <is>
          <t>F</t>
        </is>
      </c>
      <c r="D201" s="3" t="inlineStr">
        <is>
          <t>Canada</t>
        </is>
      </c>
      <c r="E201" s="3" t="inlineStr">
        <is>
          <t>British Columbia</t>
        </is>
      </c>
      <c r="F201" s="3" t="inlineStr">
        <is>
          <t>Mountain Bikes</t>
        </is>
      </c>
      <c r="G201" s="3" t="inlineStr">
        <is>
          <t>Black</t>
        </is>
      </c>
      <c r="H201" s="3" t="inlineStr">
        <is>
          <t>Mountain-200 Black, 46</t>
        </is>
      </c>
      <c r="I201" s="4" t="n">
        <v>1</v>
      </c>
      <c r="J201" s="24" t="n">
        <v>550</v>
      </c>
      <c r="K201" s="24" t="n">
        <v>850</v>
      </c>
      <c r="L201" s="25">
        <f>I201*K201</f>
        <v/>
      </c>
      <c r="M201" s="25">
        <f>I201*J201</f>
        <v/>
      </c>
      <c r="N201" s="25">
        <f>L201-M201</f>
        <v/>
      </c>
      <c r="O201" s="26">
        <f>IFERROR(N201/L201,0)</f>
        <v/>
      </c>
      <c r="P201">
        <f>YEAR(A201)</f>
        <v/>
      </c>
      <c r="Q201">
        <f>TEXT(A201,"mmm")</f>
        <v/>
      </c>
      <c r="R201">
        <f>IF(B201&lt;25,"18-24",IF(B201&lt;35,"25-34",IF(B201&lt;45,"35-44","45+")))</f>
        <v/>
      </c>
    </row>
    <row r="202">
      <c r="A202" s="23" t="n">
        <v>44554</v>
      </c>
      <c r="B202" s="3" t="n">
        <v>27</v>
      </c>
      <c r="C202" s="3" t="inlineStr">
        <is>
          <t>M</t>
        </is>
      </c>
      <c r="D202" s="3" t="inlineStr">
        <is>
          <t>United States</t>
        </is>
      </c>
      <c r="E202" s="3" t="inlineStr">
        <is>
          <t>California</t>
        </is>
      </c>
      <c r="F202" s="3" t="inlineStr">
        <is>
          <t>Road Bikes</t>
        </is>
      </c>
      <c r="G202" s="3" t="inlineStr">
        <is>
          <t>Yellow</t>
        </is>
      </c>
      <c r="H202" s="3" t="inlineStr">
        <is>
          <t>Road-550-W Yellow, 42</t>
        </is>
      </c>
      <c r="I202" s="4" t="n">
        <v>1</v>
      </c>
      <c r="J202" s="24" t="n">
        <v>500</v>
      </c>
      <c r="K202" s="24" t="n">
        <v>800</v>
      </c>
      <c r="L202" s="25">
        <f>I202*K202</f>
        <v/>
      </c>
      <c r="M202" s="25">
        <f>I202*J202</f>
        <v/>
      </c>
      <c r="N202" s="25">
        <f>L202-M202</f>
        <v/>
      </c>
      <c r="O202" s="26">
        <f>IFERROR(N202/L202,0)</f>
        <v/>
      </c>
      <c r="P202">
        <f>YEAR(A202)</f>
        <v/>
      </c>
      <c r="Q202">
        <f>TEXT(A202,"mmm")</f>
        <v/>
      </c>
      <c r="R202">
        <f>IF(B202&lt;25,"18-24",IF(B202&lt;35,"25-34",IF(B202&lt;45,"35-44","45+")))</f>
        <v/>
      </c>
    </row>
    <row r="203">
      <c r="A203" s="23" t="n">
        <v>44554</v>
      </c>
      <c r="B203" s="3" t="n">
        <v>27</v>
      </c>
      <c r="C203" s="3" t="inlineStr">
        <is>
          <t>F</t>
        </is>
      </c>
      <c r="D203" s="3" t="inlineStr">
        <is>
          <t>France</t>
        </is>
      </c>
      <c r="E203" s="3" t="inlineStr">
        <is>
          <t>Yveline</t>
        </is>
      </c>
      <c r="F203" s="3" t="inlineStr">
        <is>
          <t>Road Bikes</t>
        </is>
      </c>
      <c r="G203" s="3" t="inlineStr">
        <is>
          <t>Black</t>
        </is>
      </c>
      <c r="H203" s="3" t="inlineStr">
        <is>
          <t>Road-750 Black, 52</t>
        </is>
      </c>
      <c r="I203" s="4" t="n">
        <v>1</v>
      </c>
      <c r="J203" s="24" t="n">
        <v>700</v>
      </c>
      <c r="K203" s="24" t="n">
        <v>1100</v>
      </c>
      <c r="L203" s="25">
        <f>I203*K203</f>
        <v/>
      </c>
      <c r="M203" s="25">
        <f>I203*J203</f>
        <v/>
      </c>
      <c r="N203" s="25">
        <f>L203-M203</f>
        <v/>
      </c>
      <c r="O203" s="26">
        <f>IFERROR(N203/L203,0)</f>
        <v/>
      </c>
      <c r="P203">
        <f>YEAR(A203)</f>
        <v/>
      </c>
      <c r="Q203">
        <f>TEXT(A203,"mmm")</f>
        <v/>
      </c>
      <c r="R203">
        <f>IF(B203&lt;25,"18-24",IF(B203&lt;35,"25-34",IF(B203&lt;45,"35-44","45+")))</f>
        <v/>
      </c>
    </row>
    <row r="204">
      <c r="A204" s="23" t="n">
        <v>44555</v>
      </c>
      <c r="B204" s="3" t="n">
        <v>27</v>
      </c>
      <c r="C204" s="3" t="inlineStr">
        <is>
          <t>F</t>
        </is>
      </c>
      <c r="D204" s="3" t="inlineStr">
        <is>
          <t>France</t>
        </is>
      </c>
      <c r="E204" s="3" t="inlineStr">
        <is>
          <t>Yveline</t>
        </is>
      </c>
      <c r="F204" s="3" t="inlineStr">
        <is>
          <t>Road Bikes</t>
        </is>
      </c>
      <c r="G204" s="3" t="inlineStr">
        <is>
          <t>Black</t>
        </is>
      </c>
      <c r="H204" s="3" t="inlineStr">
        <is>
          <t>Road-750 Black, 52</t>
        </is>
      </c>
      <c r="I204" s="4" t="n">
        <v>1</v>
      </c>
      <c r="J204" s="24" t="n">
        <v>700</v>
      </c>
      <c r="K204" s="24" t="n">
        <v>1100</v>
      </c>
      <c r="L204" s="25">
        <f>I204*K204</f>
        <v/>
      </c>
      <c r="M204" s="25">
        <f>I204*J204</f>
        <v/>
      </c>
      <c r="N204" s="25">
        <f>L204-M204</f>
        <v/>
      </c>
      <c r="O204" s="26">
        <f>IFERROR(N204/L204,0)</f>
        <v/>
      </c>
      <c r="P204">
        <f>YEAR(A204)</f>
        <v/>
      </c>
      <c r="Q204">
        <f>TEXT(A204,"mmm")</f>
        <v/>
      </c>
      <c r="R204">
        <f>IF(B204&lt;25,"18-24",IF(B204&lt;35,"25-34",IF(B204&lt;45,"35-44","45+")))</f>
        <v/>
      </c>
    </row>
    <row r="205">
      <c r="A205" s="23" t="n">
        <v>44470</v>
      </c>
      <c r="B205" s="3" t="n">
        <v>28</v>
      </c>
      <c r="C205" s="3" t="inlineStr">
        <is>
          <t>M</t>
        </is>
      </c>
      <c r="D205" s="3" t="inlineStr">
        <is>
          <t>United Kingdom</t>
        </is>
      </c>
      <c r="E205" s="3" t="inlineStr">
        <is>
          <t>England</t>
        </is>
      </c>
      <c r="F205" s="3" t="inlineStr">
        <is>
          <t>Mountain Bikes</t>
        </is>
      </c>
      <c r="G205" s="3" t="inlineStr">
        <is>
          <t>Black</t>
        </is>
      </c>
      <c r="H205" s="3" t="inlineStr">
        <is>
          <t>Mountain-200 Black, 38</t>
        </is>
      </c>
      <c r="I205" s="4" t="n">
        <v>2</v>
      </c>
      <c r="J205" s="24" t="n">
        <v>550</v>
      </c>
      <c r="K205" s="24" t="n">
        <v>850</v>
      </c>
      <c r="L205" s="25">
        <f>I205*K205</f>
        <v/>
      </c>
      <c r="M205" s="25">
        <f>I205*J205</f>
        <v/>
      </c>
      <c r="N205" s="25">
        <f>L205-M205</f>
        <v/>
      </c>
      <c r="O205" s="26">
        <f>IFERROR(N205/L205,0)</f>
        <v/>
      </c>
      <c r="P205">
        <f>YEAR(A205)</f>
        <v/>
      </c>
      <c r="Q205">
        <f>TEXT(A205,"mmm")</f>
        <v/>
      </c>
      <c r="R205">
        <f>IF(B205&lt;25,"18-24",IF(B205&lt;35,"25-34",IF(B205&lt;45,"35-44","45+")))</f>
        <v/>
      </c>
    </row>
    <row r="206">
      <c r="A206" s="23" t="n">
        <v>44470</v>
      </c>
      <c r="B206" s="3" t="n">
        <v>28</v>
      </c>
      <c r="C206" s="3" t="inlineStr">
        <is>
          <t>M</t>
        </is>
      </c>
      <c r="D206" s="3" t="inlineStr">
        <is>
          <t>Australia</t>
        </is>
      </c>
      <c r="E206" s="3" t="inlineStr">
        <is>
          <t>South Australia</t>
        </is>
      </c>
      <c r="F206" s="3" t="inlineStr">
        <is>
          <t>Mountain Bikes</t>
        </is>
      </c>
      <c r="G206" s="3" t="inlineStr">
        <is>
          <t>Silver</t>
        </is>
      </c>
      <c r="H206" s="3" t="inlineStr">
        <is>
          <t>Mountain-200 Silver, 38</t>
        </is>
      </c>
      <c r="I206" s="4" t="n">
        <v>1</v>
      </c>
      <c r="J206" s="24" t="n">
        <v>550</v>
      </c>
      <c r="K206" s="24" t="n">
        <v>850</v>
      </c>
      <c r="L206" s="25">
        <f>I206*K206</f>
        <v/>
      </c>
      <c r="M206" s="25">
        <f>I206*J206</f>
        <v/>
      </c>
      <c r="N206" s="25">
        <f>L206-M206</f>
        <v/>
      </c>
      <c r="O206" s="26">
        <f>IFERROR(N206/L206,0)</f>
        <v/>
      </c>
      <c r="P206">
        <f>YEAR(A206)</f>
        <v/>
      </c>
      <c r="Q206">
        <f>TEXT(A206,"mmm")</f>
        <v/>
      </c>
      <c r="R206">
        <f>IF(B206&lt;25,"18-24",IF(B206&lt;35,"25-34",IF(B206&lt;45,"35-44","45+")))</f>
        <v/>
      </c>
    </row>
    <row r="207">
      <c r="A207" s="23" t="n">
        <v>44471</v>
      </c>
      <c r="B207" s="3" t="n">
        <v>28</v>
      </c>
      <c r="C207" s="3" t="inlineStr">
        <is>
          <t>F</t>
        </is>
      </c>
      <c r="D207" s="3" t="inlineStr">
        <is>
          <t>Australia</t>
        </is>
      </c>
      <c r="E207" s="3" t="inlineStr">
        <is>
          <t>New South Wales</t>
        </is>
      </c>
      <c r="F207" s="3" t="inlineStr">
        <is>
          <t>Mountain Bikes</t>
        </is>
      </c>
      <c r="G207" s="3" t="inlineStr">
        <is>
          <t>Black</t>
        </is>
      </c>
      <c r="H207" s="3" t="inlineStr">
        <is>
          <t>Mountain-200 Black, 38</t>
        </is>
      </c>
      <c r="I207" s="4" t="n">
        <v>3</v>
      </c>
      <c r="J207" s="24" t="n">
        <v>550</v>
      </c>
      <c r="K207" s="24" t="n">
        <v>850</v>
      </c>
      <c r="L207" s="25">
        <f>I207*K207</f>
        <v/>
      </c>
      <c r="M207" s="25">
        <f>I207*J207</f>
        <v/>
      </c>
      <c r="N207" s="25">
        <f>L207-M207</f>
        <v/>
      </c>
      <c r="O207" s="26">
        <f>IFERROR(N207/L207,0)</f>
        <v/>
      </c>
      <c r="P207">
        <f>YEAR(A207)</f>
        <v/>
      </c>
      <c r="Q207">
        <f>TEXT(A207,"mmm")</f>
        <v/>
      </c>
      <c r="R207">
        <f>IF(B207&lt;25,"18-24",IF(B207&lt;35,"25-34",IF(B207&lt;45,"35-44","45+")))</f>
        <v/>
      </c>
    </row>
    <row r="208">
      <c r="A208" s="23" t="n">
        <v>44471</v>
      </c>
      <c r="B208" s="3" t="n">
        <v>28</v>
      </c>
      <c r="C208" s="3" t="inlineStr">
        <is>
          <t>F</t>
        </is>
      </c>
      <c r="D208" s="3" t="inlineStr">
        <is>
          <t>Australia</t>
        </is>
      </c>
      <c r="E208" s="3" t="inlineStr">
        <is>
          <t>New South Wales</t>
        </is>
      </c>
      <c r="F208" s="3" t="inlineStr">
        <is>
          <t>Mountain Bikes</t>
        </is>
      </c>
      <c r="G208" s="3" t="inlineStr">
        <is>
          <t>Black</t>
        </is>
      </c>
      <c r="H208" s="3" t="inlineStr">
        <is>
          <t>Mountain-200 Black, 38</t>
        </is>
      </c>
      <c r="I208" s="4" t="n">
        <v>2</v>
      </c>
      <c r="J208" s="24" t="n">
        <v>550</v>
      </c>
      <c r="K208" s="24" t="n">
        <v>850</v>
      </c>
      <c r="L208" s="25">
        <f>I208*K208</f>
        <v/>
      </c>
      <c r="M208" s="25">
        <f>I208*J208</f>
        <v/>
      </c>
      <c r="N208" s="25">
        <f>L208-M208</f>
        <v/>
      </c>
      <c r="O208" s="26">
        <f>IFERROR(N208/L208,0)</f>
        <v/>
      </c>
      <c r="P208">
        <f>YEAR(A208)</f>
        <v/>
      </c>
      <c r="Q208">
        <f>TEXT(A208,"mmm")</f>
        <v/>
      </c>
      <c r="R208">
        <f>IF(B208&lt;25,"18-24",IF(B208&lt;35,"25-34",IF(B208&lt;45,"35-44","45+")))</f>
        <v/>
      </c>
    </row>
    <row r="209">
      <c r="A209" s="23" t="n">
        <v>44477</v>
      </c>
      <c r="B209" s="3" t="n">
        <v>28</v>
      </c>
      <c r="C209" s="3" t="inlineStr">
        <is>
          <t>F</t>
        </is>
      </c>
      <c r="D209" s="3" t="inlineStr">
        <is>
          <t>United Kingdom</t>
        </is>
      </c>
      <c r="E209" s="3" t="inlineStr">
        <is>
          <t>England</t>
        </is>
      </c>
      <c r="F209" s="3" t="inlineStr">
        <is>
          <t>Mountain Bikes</t>
        </is>
      </c>
      <c r="G209" s="3" t="inlineStr">
        <is>
          <t>Black</t>
        </is>
      </c>
      <c r="H209" s="3" t="inlineStr">
        <is>
          <t>Mountain-200 Black, 46</t>
        </is>
      </c>
      <c r="I209" s="4" t="n">
        <v>1</v>
      </c>
      <c r="J209" s="24" t="n">
        <v>550</v>
      </c>
      <c r="K209" s="24" t="n">
        <v>850</v>
      </c>
      <c r="L209" s="25">
        <f>I209*K209</f>
        <v/>
      </c>
      <c r="M209" s="25">
        <f>I209*J209</f>
        <v/>
      </c>
      <c r="N209" s="25">
        <f>L209-M209</f>
        <v/>
      </c>
      <c r="O209" s="26">
        <f>IFERROR(N209/L209,0)</f>
        <v/>
      </c>
      <c r="P209">
        <f>YEAR(A209)</f>
        <v/>
      </c>
      <c r="Q209">
        <f>TEXT(A209,"mmm")</f>
        <v/>
      </c>
      <c r="R209">
        <f>IF(B209&lt;25,"18-24",IF(B209&lt;35,"25-34",IF(B209&lt;45,"35-44","45+")))</f>
        <v/>
      </c>
    </row>
    <row r="210">
      <c r="A210" s="23" t="n">
        <v>44480</v>
      </c>
      <c r="B210" s="3" t="n">
        <v>28</v>
      </c>
      <c r="C210" s="3" t="inlineStr">
        <is>
          <t>M</t>
        </is>
      </c>
      <c r="D210" s="3" t="inlineStr">
        <is>
          <t>Australia</t>
        </is>
      </c>
      <c r="E210" s="3" t="inlineStr">
        <is>
          <t>Tasmania</t>
        </is>
      </c>
      <c r="F210" s="3" t="inlineStr">
        <is>
          <t>Mountain Bikes</t>
        </is>
      </c>
      <c r="G210" s="3" t="inlineStr">
        <is>
          <t>Black</t>
        </is>
      </c>
      <c r="H210" s="3" t="inlineStr">
        <is>
          <t>Mountain-200 Black, 42</t>
        </is>
      </c>
      <c r="I210" s="4" t="n">
        <v>1</v>
      </c>
      <c r="J210" s="24" t="n">
        <v>550</v>
      </c>
      <c r="K210" s="24" t="n">
        <v>850</v>
      </c>
      <c r="L210" s="25">
        <f>I210*K210</f>
        <v/>
      </c>
      <c r="M210" s="25">
        <f>I210*J210</f>
        <v/>
      </c>
      <c r="N210" s="25">
        <f>L210-M210</f>
        <v/>
      </c>
      <c r="O210" s="26">
        <f>IFERROR(N210/L210,0)</f>
        <v/>
      </c>
      <c r="P210">
        <f>YEAR(A210)</f>
        <v/>
      </c>
      <c r="Q210">
        <f>TEXT(A210,"mmm")</f>
        <v/>
      </c>
      <c r="R210">
        <f>IF(B210&lt;25,"18-24",IF(B210&lt;35,"25-34",IF(B210&lt;45,"35-44","45+")))</f>
        <v/>
      </c>
    </row>
    <row r="211">
      <c r="A211" s="23" t="n">
        <v>44483</v>
      </c>
      <c r="B211" s="3" t="n">
        <v>28</v>
      </c>
      <c r="C211" s="3" t="inlineStr">
        <is>
          <t>M</t>
        </is>
      </c>
      <c r="D211" s="3" t="inlineStr">
        <is>
          <t>Australia</t>
        </is>
      </c>
      <c r="E211" s="3" t="inlineStr">
        <is>
          <t>Queensland</t>
        </is>
      </c>
      <c r="F211" s="3" t="inlineStr">
        <is>
          <t>Mountain Bikes</t>
        </is>
      </c>
      <c r="G211" s="3" t="inlineStr">
        <is>
          <t>Silver</t>
        </is>
      </c>
      <c r="H211" s="3" t="inlineStr">
        <is>
          <t>Mountain-200 Silver, 42</t>
        </is>
      </c>
      <c r="I211" s="4" t="n">
        <v>1</v>
      </c>
      <c r="J211" s="24" t="n">
        <v>550</v>
      </c>
      <c r="K211" s="24" t="n">
        <v>850</v>
      </c>
      <c r="L211" s="25">
        <f>I211*K211</f>
        <v/>
      </c>
      <c r="M211" s="25">
        <f>I211*J211</f>
        <v/>
      </c>
      <c r="N211" s="25">
        <f>L211-M211</f>
        <v/>
      </c>
      <c r="O211" s="26">
        <f>IFERROR(N211/L211,0)</f>
        <v/>
      </c>
      <c r="P211">
        <f>YEAR(A211)</f>
        <v/>
      </c>
      <c r="Q211">
        <f>TEXT(A211,"mmm")</f>
        <v/>
      </c>
      <c r="R211">
        <f>IF(B211&lt;25,"18-24",IF(B211&lt;35,"25-34",IF(B211&lt;45,"35-44","45+")))</f>
        <v/>
      </c>
    </row>
    <row r="212">
      <c r="A212" s="23" t="n">
        <v>44485</v>
      </c>
      <c r="B212" s="3" t="n">
        <v>28</v>
      </c>
      <c r="C212" s="3" t="inlineStr">
        <is>
          <t>F</t>
        </is>
      </c>
      <c r="D212" s="3" t="inlineStr">
        <is>
          <t>United Kingdom</t>
        </is>
      </c>
      <c r="E212" s="3" t="inlineStr">
        <is>
          <t>England</t>
        </is>
      </c>
      <c r="F212" s="3" t="inlineStr">
        <is>
          <t>Mountain Bikes</t>
        </is>
      </c>
      <c r="G212" s="3" t="inlineStr">
        <is>
          <t>Black</t>
        </is>
      </c>
      <c r="H212" s="3" t="inlineStr">
        <is>
          <t>Mountain-200 Black, 46</t>
        </is>
      </c>
      <c r="I212" s="4" t="n">
        <v>1</v>
      </c>
      <c r="J212" s="24" t="n">
        <v>550</v>
      </c>
      <c r="K212" s="24" t="n">
        <v>850</v>
      </c>
      <c r="L212" s="25">
        <f>I212*K212</f>
        <v/>
      </c>
      <c r="M212" s="25">
        <f>I212*J212</f>
        <v/>
      </c>
      <c r="N212" s="25">
        <f>L212-M212</f>
        <v/>
      </c>
      <c r="O212" s="26">
        <f>IFERROR(N212/L212,0)</f>
        <v/>
      </c>
      <c r="P212">
        <f>YEAR(A212)</f>
        <v/>
      </c>
      <c r="Q212">
        <f>TEXT(A212,"mmm")</f>
        <v/>
      </c>
      <c r="R212">
        <f>IF(B212&lt;25,"18-24",IF(B212&lt;35,"25-34",IF(B212&lt;45,"35-44","45+")))</f>
        <v/>
      </c>
    </row>
    <row r="213">
      <c r="A213" s="23" t="n">
        <v>44487</v>
      </c>
      <c r="B213" s="3" t="n">
        <v>28</v>
      </c>
      <c r="C213" s="3" t="inlineStr">
        <is>
          <t>F</t>
        </is>
      </c>
      <c r="D213" s="3" t="inlineStr">
        <is>
          <t>Australia</t>
        </is>
      </c>
      <c r="E213" s="3" t="inlineStr">
        <is>
          <t>Victoria</t>
        </is>
      </c>
      <c r="F213" s="3" t="inlineStr">
        <is>
          <t>Mountain Bikes</t>
        </is>
      </c>
      <c r="G213" s="3" t="inlineStr">
        <is>
          <t>Black</t>
        </is>
      </c>
      <c r="H213" s="3" t="inlineStr">
        <is>
          <t>Mountain-200 Black, 42</t>
        </is>
      </c>
      <c r="I213" s="4" t="n">
        <v>1</v>
      </c>
      <c r="J213" s="24" t="n">
        <v>550</v>
      </c>
      <c r="K213" s="24" t="n">
        <v>850</v>
      </c>
      <c r="L213" s="25">
        <f>I213*K213</f>
        <v/>
      </c>
      <c r="M213" s="25">
        <f>I213*J213</f>
        <v/>
      </c>
      <c r="N213" s="25">
        <f>L213-M213</f>
        <v/>
      </c>
      <c r="O213" s="26">
        <f>IFERROR(N213/L213,0)</f>
        <v/>
      </c>
      <c r="P213">
        <f>YEAR(A213)</f>
        <v/>
      </c>
      <c r="Q213">
        <f>TEXT(A213,"mmm")</f>
        <v/>
      </c>
      <c r="R213">
        <f>IF(B213&lt;25,"18-24",IF(B213&lt;35,"25-34",IF(B213&lt;45,"35-44","45+")))</f>
        <v/>
      </c>
    </row>
    <row r="214">
      <c r="A214" s="23" t="n">
        <v>44487</v>
      </c>
      <c r="B214" s="3" t="n">
        <v>28</v>
      </c>
      <c r="C214" s="3" t="inlineStr">
        <is>
          <t>M</t>
        </is>
      </c>
      <c r="D214" s="3" t="inlineStr">
        <is>
          <t>United States</t>
        </is>
      </c>
      <c r="E214" s="3" t="inlineStr">
        <is>
          <t>California</t>
        </is>
      </c>
      <c r="F214" s="3" t="inlineStr">
        <is>
          <t>Mountain Bikes</t>
        </is>
      </c>
      <c r="G214" s="3" t="inlineStr">
        <is>
          <t>Black</t>
        </is>
      </c>
      <c r="H214" s="3" t="inlineStr">
        <is>
          <t>Mountain-200 Black, 38</t>
        </is>
      </c>
      <c r="I214" s="4" t="n">
        <v>1</v>
      </c>
      <c r="J214" s="24" t="n">
        <v>550</v>
      </c>
      <c r="K214" s="24" t="n">
        <v>850</v>
      </c>
      <c r="L214" s="25">
        <f>I214*K214</f>
        <v/>
      </c>
      <c r="M214" s="25">
        <f>I214*J214</f>
        <v/>
      </c>
      <c r="N214" s="25">
        <f>L214-M214</f>
        <v/>
      </c>
      <c r="O214" s="26">
        <f>IFERROR(N214/L214,0)</f>
        <v/>
      </c>
      <c r="P214">
        <f>YEAR(A214)</f>
        <v/>
      </c>
      <c r="Q214">
        <f>TEXT(A214,"mmm")</f>
        <v/>
      </c>
      <c r="R214">
        <f>IF(B214&lt;25,"18-24",IF(B214&lt;35,"25-34",IF(B214&lt;45,"35-44","45+")))</f>
        <v/>
      </c>
    </row>
    <row r="215">
      <c r="A215" s="23" t="n">
        <v>44488</v>
      </c>
      <c r="B215" s="3" t="n">
        <v>28</v>
      </c>
      <c r="C215" s="3" t="inlineStr">
        <is>
          <t>F</t>
        </is>
      </c>
      <c r="D215" s="3" t="inlineStr">
        <is>
          <t>Australia</t>
        </is>
      </c>
      <c r="E215" s="3" t="inlineStr">
        <is>
          <t>Queensland</t>
        </is>
      </c>
      <c r="F215" s="3" t="inlineStr">
        <is>
          <t>Mountain Bikes</t>
        </is>
      </c>
      <c r="G215" s="3" t="inlineStr">
        <is>
          <t>Black</t>
        </is>
      </c>
      <c r="H215" s="3" t="inlineStr">
        <is>
          <t>Mountain-200 Black, 38</t>
        </is>
      </c>
      <c r="I215" s="4" t="n">
        <v>3</v>
      </c>
      <c r="J215" s="24" t="n">
        <v>550</v>
      </c>
      <c r="K215" s="24" t="n">
        <v>850</v>
      </c>
      <c r="L215" s="25">
        <f>I215*K215</f>
        <v/>
      </c>
      <c r="M215" s="25">
        <f>I215*J215</f>
        <v/>
      </c>
      <c r="N215" s="25">
        <f>L215-M215</f>
        <v/>
      </c>
      <c r="O215" s="26">
        <f>IFERROR(N215/L215,0)</f>
        <v/>
      </c>
      <c r="P215">
        <f>YEAR(A215)</f>
        <v/>
      </c>
      <c r="Q215">
        <f>TEXT(A215,"mmm")</f>
        <v/>
      </c>
      <c r="R215">
        <f>IF(B215&lt;25,"18-24",IF(B215&lt;35,"25-34",IF(B215&lt;45,"35-44","45+")))</f>
        <v/>
      </c>
    </row>
    <row r="216">
      <c r="A216" s="23" t="n">
        <v>44490</v>
      </c>
      <c r="B216" s="3" t="n">
        <v>28</v>
      </c>
      <c r="C216" s="3" t="inlineStr">
        <is>
          <t>M</t>
        </is>
      </c>
      <c r="D216" s="3" t="inlineStr">
        <is>
          <t>France</t>
        </is>
      </c>
      <c r="E216" s="3" t="inlineStr">
        <is>
          <t>Seine (Paris)</t>
        </is>
      </c>
      <c r="F216" s="3" t="inlineStr">
        <is>
          <t>Mountain Bikes</t>
        </is>
      </c>
      <c r="G216" s="3" t="inlineStr">
        <is>
          <t>Silver</t>
        </is>
      </c>
      <c r="H216" s="3" t="inlineStr">
        <is>
          <t>Mountain-400-W Silver, 46</t>
        </is>
      </c>
      <c r="I216" s="4" t="n">
        <v>4</v>
      </c>
      <c r="J216" s="24" t="n">
        <v>450</v>
      </c>
      <c r="K216" s="24" t="n">
        <v>720</v>
      </c>
      <c r="L216" s="25">
        <f>I216*K216</f>
        <v/>
      </c>
      <c r="M216" s="25">
        <f>I216*J216</f>
        <v/>
      </c>
      <c r="N216" s="25">
        <f>L216-M216</f>
        <v/>
      </c>
      <c r="O216" s="26">
        <f>IFERROR(N216/L216,0)</f>
        <v/>
      </c>
      <c r="P216">
        <f>YEAR(A216)</f>
        <v/>
      </c>
      <c r="Q216">
        <f>TEXT(A216,"mmm")</f>
        <v/>
      </c>
      <c r="R216">
        <f>IF(B216&lt;25,"18-24",IF(B216&lt;35,"25-34",IF(B216&lt;45,"35-44","45+")))</f>
        <v/>
      </c>
    </row>
    <row r="217">
      <c r="A217" s="23" t="n">
        <v>44494</v>
      </c>
      <c r="B217" s="3" t="n">
        <v>28</v>
      </c>
      <c r="C217" s="3" t="inlineStr">
        <is>
          <t>M</t>
        </is>
      </c>
      <c r="D217" s="3" t="inlineStr">
        <is>
          <t>Australia</t>
        </is>
      </c>
      <c r="E217" s="3" t="inlineStr">
        <is>
          <t>Victoria</t>
        </is>
      </c>
      <c r="F217" s="3" t="inlineStr">
        <is>
          <t>Mountain Bikes</t>
        </is>
      </c>
      <c r="G217" s="3" t="inlineStr">
        <is>
          <t>Black</t>
        </is>
      </c>
      <c r="H217" s="3" t="inlineStr">
        <is>
          <t>Mountain-200 Black, 38</t>
        </is>
      </c>
      <c r="I217" s="4" t="n">
        <v>4</v>
      </c>
      <c r="J217" s="24" t="n">
        <v>550</v>
      </c>
      <c r="K217" s="24" t="n">
        <v>850</v>
      </c>
      <c r="L217" s="25">
        <f>I217*K217</f>
        <v/>
      </c>
      <c r="M217" s="25">
        <f>I217*J217</f>
        <v/>
      </c>
      <c r="N217" s="25">
        <f>L217-M217</f>
        <v/>
      </c>
      <c r="O217" s="26">
        <f>IFERROR(N217/L217,0)</f>
        <v/>
      </c>
      <c r="P217">
        <f>YEAR(A217)</f>
        <v/>
      </c>
      <c r="Q217">
        <f>TEXT(A217,"mmm")</f>
        <v/>
      </c>
      <c r="R217">
        <f>IF(B217&lt;25,"18-24",IF(B217&lt;35,"25-34",IF(B217&lt;45,"35-44","45+")))</f>
        <v/>
      </c>
    </row>
    <row r="218">
      <c r="A218" s="23" t="n">
        <v>44503</v>
      </c>
      <c r="B218" s="3" t="n">
        <v>28</v>
      </c>
      <c r="C218" s="3" t="inlineStr">
        <is>
          <t>M</t>
        </is>
      </c>
      <c r="D218" s="3" t="inlineStr">
        <is>
          <t>United Kingdom</t>
        </is>
      </c>
      <c r="E218" s="3" t="inlineStr">
        <is>
          <t>England</t>
        </is>
      </c>
      <c r="F218" s="3" t="inlineStr">
        <is>
          <t>Road Bikes</t>
        </is>
      </c>
      <c r="G218" s="3" t="inlineStr">
        <is>
          <t>Red</t>
        </is>
      </c>
      <c r="H218" s="3" t="inlineStr">
        <is>
          <t>Road-150 Red, 62</t>
        </is>
      </c>
      <c r="I218" s="4" t="n">
        <v>4</v>
      </c>
      <c r="J218" s="24" t="n">
        <v>900</v>
      </c>
      <c r="K218" s="24" t="n">
        <v>1400</v>
      </c>
      <c r="L218" s="25">
        <f>I218*K218</f>
        <v/>
      </c>
      <c r="M218" s="25">
        <f>I218*J218</f>
        <v/>
      </c>
      <c r="N218" s="25">
        <f>L218-M218</f>
        <v/>
      </c>
      <c r="O218" s="26">
        <f>IFERROR(N218/L218,0)</f>
        <v/>
      </c>
      <c r="P218">
        <f>YEAR(A218)</f>
        <v/>
      </c>
      <c r="Q218">
        <f>TEXT(A218,"mmm")</f>
        <v/>
      </c>
      <c r="R218">
        <f>IF(B218&lt;25,"18-24",IF(B218&lt;35,"25-34",IF(B218&lt;45,"35-44","45+")))</f>
        <v/>
      </c>
    </row>
    <row r="219">
      <c r="A219" s="23" t="n">
        <v>44513</v>
      </c>
      <c r="B219" s="3" t="n">
        <v>28</v>
      </c>
      <c r="C219" s="3" t="inlineStr">
        <is>
          <t>M</t>
        </is>
      </c>
      <c r="D219" s="3" t="inlineStr">
        <is>
          <t>Australia</t>
        </is>
      </c>
      <c r="E219" s="3" t="inlineStr">
        <is>
          <t>Tasmania</t>
        </is>
      </c>
      <c r="F219" s="3" t="inlineStr">
        <is>
          <t>Road Bikes</t>
        </is>
      </c>
      <c r="G219" s="3" t="inlineStr">
        <is>
          <t>Black</t>
        </is>
      </c>
      <c r="H219" s="3" t="inlineStr">
        <is>
          <t>Road-250 Black, 52</t>
        </is>
      </c>
      <c r="I219" s="4" t="n">
        <v>4</v>
      </c>
      <c r="J219" s="24" t="n">
        <v>580</v>
      </c>
      <c r="K219" s="24" t="n">
        <v>920</v>
      </c>
      <c r="L219" s="25">
        <f>I219*K219</f>
        <v/>
      </c>
      <c r="M219" s="25">
        <f>I219*J219</f>
        <v/>
      </c>
      <c r="N219" s="25">
        <f>L219-M219</f>
        <v/>
      </c>
      <c r="O219" s="26">
        <f>IFERROR(N219/L219,0)</f>
        <v/>
      </c>
      <c r="P219">
        <f>YEAR(A219)</f>
        <v/>
      </c>
      <c r="Q219">
        <f>TEXT(A219,"mmm")</f>
        <v/>
      </c>
      <c r="R219">
        <f>IF(B219&lt;25,"18-24",IF(B219&lt;35,"25-34",IF(B219&lt;45,"35-44","45+")))</f>
        <v/>
      </c>
    </row>
    <row r="220">
      <c r="A220" s="23" t="n">
        <v>44517</v>
      </c>
      <c r="B220" s="3" t="n">
        <v>28</v>
      </c>
      <c r="C220" s="3" t="inlineStr">
        <is>
          <t>M</t>
        </is>
      </c>
      <c r="D220" s="3" t="inlineStr">
        <is>
          <t>United Kingdom</t>
        </is>
      </c>
      <c r="E220" s="3" t="inlineStr">
        <is>
          <t>England</t>
        </is>
      </c>
      <c r="F220" s="3" t="inlineStr">
        <is>
          <t>Road Bikes</t>
        </is>
      </c>
      <c r="G220" s="3" t="inlineStr">
        <is>
          <t>Red</t>
        </is>
      </c>
      <c r="H220" s="3" t="inlineStr">
        <is>
          <t>Road-150 Red, 62</t>
        </is>
      </c>
      <c r="I220" s="4" t="n">
        <v>2</v>
      </c>
      <c r="J220" s="24" t="n">
        <v>900</v>
      </c>
      <c r="K220" s="24" t="n">
        <v>1400</v>
      </c>
      <c r="L220" s="25">
        <f>I220*K220</f>
        <v/>
      </c>
      <c r="M220" s="25">
        <f>I220*J220</f>
        <v/>
      </c>
      <c r="N220" s="25">
        <f>L220-M220</f>
        <v/>
      </c>
      <c r="O220" s="26">
        <f>IFERROR(N220/L220,0)</f>
        <v/>
      </c>
      <c r="P220">
        <f>YEAR(A220)</f>
        <v/>
      </c>
      <c r="Q220">
        <f>TEXT(A220,"mmm")</f>
        <v/>
      </c>
      <c r="R220">
        <f>IF(B220&lt;25,"18-24",IF(B220&lt;35,"25-34",IF(B220&lt;45,"35-44","45+")))</f>
        <v/>
      </c>
    </row>
    <row r="221">
      <c r="A221" s="23" t="n">
        <v>44517</v>
      </c>
      <c r="B221" s="3" t="n">
        <v>28</v>
      </c>
      <c r="C221" s="3" t="inlineStr">
        <is>
          <t>M</t>
        </is>
      </c>
      <c r="D221" s="3" t="inlineStr">
        <is>
          <t>United Kingdom</t>
        </is>
      </c>
      <c r="E221" s="3" t="inlineStr">
        <is>
          <t>England</t>
        </is>
      </c>
      <c r="F221" s="3" t="inlineStr">
        <is>
          <t>Mountain Bikes</t>
        </is>
      </c>
      <c r="G221" s="3" t="inlineStr">
        <is>
          <t>Black</t>
        </is>
      </c>
      <c r="H221" s="3" t="inlineStr">
        <is>
          <t>Mountain-200 Black, 38</t>
        </is>
      </c>
      <c r="I221" s="4" t="n">
        <v>1</v>
      </c>
      <c r="J221" s="24" t="n">
        <v>550</v>
      </c>
      <c r="K221" s="24" t="n">
        <v>850</v>
      </c>
      <c r="L221" s="25">
        <f>I221*K221</f>
        <v/>
      </c>
      <c r="M221" s="25">
        <f>I221*J221</f>
        <v/>
      </c>
      <c r="N221" s="25">
        <f>L221-M221</f>
        <v/>
      </c>
      <c r="O221" s="26">
        <f>IFERROR(N221/L221,0)</f>
        <v/>
      </c>
      <c r="P221">
        <f>YEAR(A221)</f>
        <v/>
      </c>
      <c r="Q221">
        <f>TEXT(A221,"mmm")</f>
        <v/>
      </c>
      <c r="R221">
        <f>IF(B221&lt;25,"18-24",IF(B221&lt;35,"25-34",IF(B221&lt;45,"35-44","45+")))</f>
        <v/>
      </c>
    </row>
    <row r="222">
      <c r="A222" s="23" t="n">
        <v>44524</v>
      </c>
      <c r="B222" s="3" t="n">
        <v>28</v>
      </c>
      <c r="C222" s="3" t="inlineStr">
        <is>
          <t>F</t>
        </is>
      </c>
      <c r="D222" s="3" t="inlineStr">
        <is>
          <t>United States</t>
        </is>
      </c>
      <c r="E222" s="3" t="inlineStr">
        <is>
          <t>Oregon</t>
        </is>
      </c>
      <c r="F222" s="3" t="inlineStr">
        <is>
          <t>Mountain Bikes</t>
        </is>
      </c>
      <c r="G222" s="3" t="inlineStr">
        <is>
          <t>Silver</t>
        </is>
      </c>
      <c r="H222" s="3" t="inlineStr">
        <is>
          <t>Mountain-200 Silver, 38</t>
        </is>
      </c>
      <c r="I222" s="4" t="n">
        <v>2</v>
      </c>
      <c r="J222" s="24" t="n">
        <v>550</v>
      </c>
      <c r="K222" s="24" t="n">
        <v>850</v>
      </c>
      <c r="L222" s="25">
        <f>I222*K222</f>
        <v/>
      </c>
      <c r="M222" s="25">
        <f>I222*J222</f>
        <v/>
      </c>
      <c r="N222" s="25">
        <f>L222-M222</f>
        <v/>
      </c>
      <c r="O222" s="26">
        <f>IFERROR(N222/L222,0)</f>
        <v/>
      </c>
      <c r="P222">
        <f>YEAR(A222)</f>
        <v/>
      </c>
      <c r="Q222">
        <f>TEXT(A222,"mmm")</f>
        <v/>
      </c>
      <c r="R222">
        <f>IF(B222&lt;25,"18-24",IF(B222&lt;35,"25-34",IF(B222&lt;45,"35-44","45+")))</f>
        <v/>
      </c>
    </row>
    <row r="223">
      <c r="A223" s="23" t="n">
        <v>44525</v>
      </c>
      <c r="B223" s="3" t="n">
        <v>28</v>
      </c>
      <c r="C223" s="3" t="inlineStr">
        <is>
          <t>F</t>
        </is>
      </c>
      <c r="D223" s="3" t="inlineStr">
        <is>
          <t>United Kingdom</t>
        </is>
      </c>
      <c r="E223" s="3" t="inlineStr">
        <is>
          <t>England</t>
        </is>
      </c>
      <c r="F223" s="3" t="inlineStr">
        <is>
          <t>Road Bikes</t>
        </is>
      </c>
      <c r="G223" s="3" t="inlineStr">
        <is>
          <t>Black</t>
        </is>
      </c>
      <c r="H223" s="3" t="inlineStr">
        <is>
          <t>Road-750 Black, 48</t>
        </is>
      </c>
      <c r="I223" s="4" t="n">
        <v>3</v>
      </c>
      <c r="J223" s="24" t="n">
        <v>700</v>
      </c>
      <c r="K223" s="24" t="n">
        <v>1100</v>
      </c>
      <c r="L223" s="25">
        <f>I223*K223</f>
        <v/>
      </c>
      <c r="M223" s="25">
        <f>I223*J223</f>
        <v/>
      </c>
      <c r="N223" s="25">
        <f>L223-M223</f>
        <v/>
      </c>
      <c r="O223" s="26">
        <f>IFERROR(N223/L223,0)</f>
        <v/>
      </c>
      <c r="P223">
        <f>YEAR(A223)</f>
        <v/>
      </c>
      <c r="Q223">
        <f>TEXT(A223,"mmm")</f>
        <v/>
      </c>
      <c r="R223">
        <f>IF(B223&lt;25,"18-24",IF(B223&lt;35,"25-34",IF(B223&lt;45,"35-44","45+")))</f>
        <v/>
      </c>
    </row>
    <row r="224">
      <c r="A224" s="23" t="n">
        <v>44527</v>
      </c>
      <c r="B224" s="3" t="n">
        <v>28</v>
      </c>
      <c r="C224" s="3" t="inlineStr">
        <is>
          <t>F</t>
        </is>
      </c>
      <c r="D224" s="3" t="inlineStr">
        <is>
          <t>United Kingdom</t>
        </is>
      </c>
      <c r="E224" s="3" t="inlineStr">
        <is>
          <t>England</t>
        </is>
      </c>
      <c r="F224" s="3" t="inlineStr">
        <is>
          <t>Road Bikes</t>
        </is>
      </c>
      <c r="G224" s="3" t="inlineStr">
        <is>
          <t>Black</t>
        </is>
      </c>
      <c r="H224" s="3" t="inlineStr">
        <is>
          <t>Road-750 Black, 48</t>
        </is>
      </c>
      <c r="I224" s="4" t="n">
        <v>4</v>
      </c>
      <c r="J224" s="24" t="n">
        <v>700</v>
      </c>
      <c r="K224" s="24" t="n">
        <v>1100</v>
      </c>
      <c r="L224" s="25">
        <f>I224*K224</f>
        <v/>
      </c>
      <c r="M224" s="25">
        <f>I224*J224</f>
        <v/>
      </c>
      <c r="N224" s="25">
        <f>L224-M224</f>
        <v/>
      </c>
      <c r="O224" s="26">
        <f>IFERROR(N224/L224,0)</f>
        <v/>
      </c>
      <c r="P224">
        <f>YEAR(A224)</f>
        <v/>
      </c>
      <c r="Q224">
        <f>TEXT(A224,"mmm")</f>
        <v/>
      </c>
      <c r="R224">
        <f>IF(B224&lt;25,"18-24",IF(B224&lt;35,"25-34",IF(B224&lt;45,"35-44","45+")))</f>
        <v/>
      </c>
    </row>
    <row r="225">
      <c r="A225" s="23" t="n">
        <v>44528</v>
      </c>
      <c r="B225" s="3" t="n">
        <v>28</v>
      </c>
      <c r="C225" s="3" t="inlineStr">
        <is>
          <t>F</t>
        </is>
      </c>
      <c r="D225" s="3" t="inlineStr">
        <is>
          <t>United Kingdom</t>
        </is>
      </c>
      <c r="E225" s="3" t="inlineStr">
        <is>
          <t>England</t>
        </is>
      </c>
      <c r="F225" s="3" t="inlineStr">
        <is>
          <t>Road Bikes</t>
        </is>
      </c>
      <c r="G225" s="3" t="inlineStr">
        <is>
          <t>Black</t>
        </is>
      </c>
      <c r="H225" s="3" t="inlineStr">
        <is>
          <t>Road-750 Black, 48</t>
        </is>
      </c>
      <c r="I225" s="4" t="n">
        <v>1</v>
      </c>
      <c r="J225" s="24" t="n">
        <v>700</v>
      </c>
      <c r="K225" s="24" t="n">
        <v>1100</v>
      </c>
      <c r="L225" s="25">
        <f>I225*K225</f>
        <v/>
      </c>
      <c r="M225" s="25">
        <f>I225*J225</f>
        <v/>
      </c>
      <c r="N225" s="25">
        <f>L225-M225</f>
        <v/>
      </c>
      <c r="O225" s="26">
        <f>IFERROR(N225/L225,0)</f>
        <v/>
      </c>
      <c r="P225">
        <f>YEAR(A225)</f>
        <v/>
      </c>
      <c r="Q225">
        <f>TEXT(A225,"mmm")</f>
        <v/>
      </c>
      <c r="R225">
        <f>IF(B225&lt;25,"18-24",IF(B225&lt;35,"25-34",IF(B225&lt;45,"35-44","45+")))</f>
        <v/>
      </c>
    </row>
    <row r="226">
      <c r="A226" s="23" t="n">
        <v>44531</v>
      </c>
      <c r="B226" s="3" t="n">
        <v>28</v>
      </c>
      <c r="C226" s="3" t="inlineStr">
        <is>
          <t>F</t>
        </is>
      </c>
      <c r="D226" s="3" t="inlineStr">
        <is>
          <t>Australia</t>
        </is>
      </c>
      <c r="E226" s="3" t="inlineStr">
        <is>
          <t>New South Wales</t>
        </is>
      </c>
      <c r="F226" s="3" t="inlineStr">
        <is>
          <t>Road Bikes</t>
        </is>
      </c>
      <c r="G226" s="3" t="inlineStr">
        <is>
          <t>Black</t>
        </is>
      </c>
      <c r="H226" s="3" t="inlineStr">
        <is>
          <t>Road-250 Black, 52</t>
        </is>
      </c>
      <c r="I226" s="4" t="n">
        <v>1</v>
      </c>
      <c r="J226" s="24" t="n">
        <v>580</v>
      </c>
      <c r="K226" s="24" t="n">
        <v>920</v>
      </c>
      <c r="L226" s="25">
        <f>I226*K226</f>
        <v/>
      </c>
      <c r="M226" s="25">
        <f>I226*J226</f>
        <v/>
      </c>
      <c r="N226" s="25">
        <f>L226-M226</f>
        <v/>
      </c>
      <c r="O226" s="26">
        <f>IFERROR(N226/L226,0)</f>
        <v/>
      </c>
      <c r="P226">
        <f>YEAR(A226)</f>
        <v/>
      </c>
      <c r="Q226">
        <f>TEXT(A226,"mmm")</f>
        <v/>
      </c>
      <c r="R226">
        <f>IF(B226&lt;25,"18-24",IF(B226&lt;35,"25-34",IF(B226&lt;45,"35-44","45+")))</f>
        <v/>
      </c>
    </row>
    <row r="227">
      <c r="A227" s="23" t="n">
        <v>44531</v>
      </c>
      <c r="B227" s="3" t="n">
        <v>28</v>
      </c>
      <c r="C227" s="3" t="inlineStr">
        <is>
          <t>F</t>
        </is>
      </c>
      <c r="D227" s="3" t="inlineStr">
        <is>
          <t>United States</t>
        </is>
      </c>
      <c r="E227" s="3" t="inlineStr">
        <is>
          <t>California</t>
        </is>
      </c>
      <c r="F227" s="3" t="inlineStr">
        <is>
          <t>Road Bikes</t>
        </is>
      </c>
      <c r="G227" s="3" t="inlineStr">
        <is>
          <t>Black</t>
        </is>
      </c>
      <c r="H227" s="3" t="inlineStr">
        <is>
          <t>Road-750 Black, 44</t>
        </is>
      </c>
      <c r="I227" s="4" t="n">
        <v>1</v>
      </c>
      <c r="J227" s="24" t="n">
        <v>700</v>
      </c>
      <c r="K227" s="24" t="n">
        <v>1100</v>
      </c>
      <c r="L227" s="25">
        <f>I227*K227</f>
        <v/>
      </c>
      <c r="M227" s="25">
        <f>I227*J227</f>
        <v/>
      </c>
      <c r="N227" s="25">
        <f>L227-M227</f>
        <v/>
      </c>
      <c r="O227" s="26">
        <f>IFERROR(N227/L227,0)</f>
        <v/>
      </c>
      <c r="P227">
        <f>YEAR(A227)</f>
        <v/>
      </c>
      <c r="Q227">
        <f>TEXT(A227,"mmm")</f>
        <v/>
      </c>
      <c r="R227">
        <f>IF(B227&lt;25,"18-24",IF(B227&lt;35,"25-34",IF(B227&lt;45,"35-44","45+")))</f>
        <v/>
      </c>
    </row>
    <row r="228">
      <c r="A228" s="23" t="n">
        <v>44532</v>
      </c>
      <c r="B228" s="3" t="n">
        <v>28</v>
      </c>
      <c r="C228" s="3" t="inlineStr">
        <is>
          <t>F</t>
        </is>
      </c>
      <c r="D228" s="3" t="inlineStr">
        <is>
          <t>United States</t>
        </is>
      </c>
      <c r="E228" s="3" t="inlineStr">
        <is>
          <t>Washington</t>
        </is>
      </c>
      <c r="F228" s="3" t="inlineStr">
        <is>
          <t>Road Bikes</t>
        </is>
      </c>
      <c r="G228" s="3" t="inlineStr">
        <is>
          <t>Yellow</t>
        </is>
      </c>
      <c r="H228" s="3" t="inlineStr">
        <is>
          <t>Road-550-W Yellow, 44</t>
        </is>
      </c>
      <c r="I228" s="4" t="n">
        <v>1</v>
      </c>
      <c r="J228" s="24" t="n">
        <v>500</v>
      </c>
      <c r="K228" s="24" t="n">
        <v>800</v>
      </c>
      <c r="L228" s="25">
        <f>I228*K228</f>
        <v/>
      </c>
      <c r="M228" s="25">
        <f>I228*J228</f>
        <v/>
      </c>
      <c r="N228" s="25">
        <f>L228-M228</f>
        <v/>
      </c>
      <c r="O228" s="26">
        <f>IFERROR(N228/L228,0)</f>
        <v/>
      </c>
      <c r="P228">
        <f>YEAR(A228)</f>
        <v/>
      </c>
      <c r="Q228">
        <f>TEXT(A228,"mmm")</f>
        <v/>
      </c>
      <c r="R228">
        <f>IF(B228&lt;25,"18-24",IF(B228&lt;35,"25-34",IF(B228&lt;45,"35-44","45+")))</f>
        <v/>
      </c>
    </row>
    <row r="229">
      <c r="A229" s="23" t="n">
        <v>44533</v>
      </c>
      <c r="B229" s="3" t="n">
        <v>28</v>
      </c>
      <c r="C229" s="3" t="inlineStr">
        <is>
          <t>M</t>
        </is>
      </c>
      <c r="D229" s="3" t="inlineStr">
        <is>
          <t>France</t>
        </is>
      </c>
      <c r="E229" s="3" t="inlineStr">
        <is>
          <t>Essonne</t>
        </is>
      </c>
      <c r="F229" s="3" t="inlineStr">
        <is>
          <t>Road Bikes</t>
        </is>
      </c>
      <c r="G229" s="3" t="inlineStr">
        <is>
          <t>Yellow</t>
        </is>
      </c>
      <c r="H229" s="3" t="inlineStr">
        <is>
          <t>Road-350-W Yellow, 44</t>
        </is>
      </c>
      <c r="I229" s="4" t="n">
        <v>3</v>
      </c>
      <c r="J229" s="24" t="n">
        <v>530</v>
      </c>
      <c r="K229" s="24" t="n">
        <v>840</v>
      </c>
      <c r="L229" s="25">
        <f>I229*K229</f>
        <v/>
      </c>
      <c r="M229" s="25">
        <f>I229*J229</f>
        <v/>
      </c>
      <c r="N229" s="25">
        <f>L229-M229</f>
        <v/>
      </c>
      <c r="O229" s="26">
        <f>IFERROR(N229/L229,0)</f>
        <v/>
      </c>
      <c r="P229">
        <f>YEAR(A229)</f>
        <v/>
      </c>
      <c r="Q229">
        <f>TEXT(A229,"mmm")</f>
        <v/>
      </c>
      <c r="R229">
        <f>IF(B229&lt;25,"18-24",IF(B229&lt;35,"25-34",IF(B229&lt;45,"35-44","45+")))</f>
        <v/>
      </c>
    </row>
    <row r="230">
      <c r="A230" s="23" t="n">
        <v>44533</v>
      </c>
      <c r="B230" s="3" t="n">
        <v>28</v>
      </c>
      <c r="C230" s="3" t="inlineStr">
        <is>
          <t>F</t>
        </is>
      </c>
      <c r="D230" s="3" t="inlineStr">
        <is>
          <t>Australia</t>
        </is>
      </c>
      <c r="E230" s="3" t="inlineStr">
        <is>
          <t>New South Wales</t>
        </is>
      </c>
      <c r="F230" s="3" t="inlineStr">
        <is>
          <t>Road Bikes</t>
        </is>
      </c>
      <c r="G230" s="3" t="inlineStr">
        <is>
          <t>Black</t>
        </is>
      </c>
      <c r="H230" s="3" t="inlineStr">
        <is>
          <t>Road-250 Black, 52</t>
        </is>
      </c>
      <c r="I230" s="4" t="n">
        <v>1</v>
      </c>
      <c r="J230" s="24" t="n">
        <v>580</v>
      </c>
      <c r="K230" s="24" t="n">
        <v>920</v>
      </c>
      <c r="L230" s="25">
        <f>I230*K230</f>
        <v/>
      </c>
      <c r="M230" s="25">
        <f>I230*J230</f>
        <v/>
      </c>
      <c r="N230" s="25">
        <f>L230-M230</f>
        <v/>
      </c>
      <c r="O230" s="26">
        <f>IFERROR(N230/L230,0)</f>
        <v/>
      </c>
      <c r="P230">
        <f>YEAR(A230)</f>
        <v/>
      </c>
      <c r="Q230">
        <f>TEXT(A230,"mmm")</f>
        <v/>
      </c>
      <c r="R230">
        <f>IF(B230&lt;25,"18-24",IF(B230&lt;35,"25-34",IF(B230&lt;45,"35-44","45+")))</f>
        <v/>
      </c>
    </row>
    <row r="231">
      <c r="A231" s="23" t="n">
        <v>44533</v>
      </c>
      <c r="B231" s="3" t="n">
        <v>28</v>
      </c>
      <c r="C231" s="3" t="inlineStr">
        <is>
          <t>M</t>
        </is>
      </c>
      <c r="D231" s="3" t="inlineStr">
        <is>
          <t>France</t>
        </is>
      </c>
      <c r="E231" s="3" t="inlineStr">
        <is>
          <t>Seine (Paris)</t>
        </is>
      </c>
      <c r="F231" s="3" t="inlineStr">
        <is>
          <t>Road Bikes</t>
        </is>
      </c>
      <c r="G231" s="3" t="inlineStr">
        <is>
          <t>Yellow</t>
        </is>
      </c>
      <c r="H231" s="3" t="inlineStr">
        <is>
          <t>Road-550-W Yellow, 44</t>
        </is>
      </c>
      <c r="I231" s="4" t="n">
        <v>1</v>
      </c>
      <c r="J231" s="24" t="n">
        <v>500</v>
      </c>
      <c r="K231" s="24" t="n">
        <v>800</v>
      </c>
      <c r="L231" s="25">
        <f>I231*K231</f>
        <v/>
      </c>
      <c r="M231" s="25">
        <f>I231*J231</f>
        <v/>
      </c>
      <c r="N231" s="25">
        <f>L231-M231</f>
        <v/>
      </c>
      <c r="O231" s="26">
        <f>IFERROR(N231/L231,0)</f>
        <v/>
      </c>
      <c r="P231">
        <f>YEAR(A231)</f>
        <v/>
      </c>
      <c r="Q231">
        <f>TEXT(A231,"mmm")</f>
        <v/>
      </c>
      <c r="R231">
        <f>IF(B231&lt;25,"18-24",IF(B231&lt;35,"25-34",IF(B231&lt;45,"35-44","45+")))</f>
        <v/>
      </c>
    </row>
    <row r="232">
      <c r="A232" s="23" t="n">
        <v>44535</v>
      </c>
      <c r="B232" s="3" t="n">
        <v>28</v>
      </c>
      <c r="C232" s="3" t="inlineStr">
        <is>
          <t>F</t>
        </is>
      </c>
      <c r="D232" s="3" t="inlineStr">
        <is>
          <t>United States</t>
        </is>
      </c>
      <c r="E232" s="3" t="inlineStr">
        <is>
          <t>California</t>
        </is>
      </c>
      <c r="F232" s="3" t="inlineStr">
        <is>
          <t>Road Bikes</t>
        </is>
      </c>
      <c r="G232" s="3" t="inlineStr">
        <is>
          <t>Black</t>
        </is>
      </c>
      <c r="H232" s="3" t="inlineStr">
        <is>
          <t>Road-750 Black, 44</t>
        </is>
      </c>
      <c r="I232" s="4" t="n">
        <v>1</v>
      </c>
      <c r="J232" s="24" t="n">
        <v>700</v>
      </c>
      <c r="K232" s="24" t="n">
        <v>1100</v>
      </c>
      <c r="L232" s="25">
        <f>I232*K232</f>
        <v/>
      </c>
      <c r="M232" s="25">
        <f>I232*J232</f>
        <v/>
      </c>
      <c r="N232" s="25">
        <f>L232-M232</f>
        <v/>
      </c>
      <c r="O232" s="26">
        <f>IFERROR(N232/L232,0)</f>
        <v/>
      </c>
      <c r="P232">
        <f>YEAR(A232)</f>
        <v/>
      </c>
      <c r="Q232">
        <f>TEXT(A232,"mmm")</f>
        <v/>
      </c>
      <c r="R232">
        <f>IF(B232&lt;25,"18-24",IF(B232&lt;35,"25-34",IF(B232&lt;45,"35-44","45+")))</f>
        <v/>
      </c>
    </row>
    <row r="233">
      <c r="A233" s="23" t="n">
        <v>44535</v>
      </c>
      <c r="B233" s="3" t="n">
        <v>28</v>
      </c>
      <c r="C233" s="3" t="inlineStr">
        <is>
          <t>F</t>
        </is>
      </c>
      <c r="D233" s="3" t="inlineStr">
        <is>
          <t>Canada</t>
        </is>
      </c>
      <c r="E233" s="3" t="inlineStr">
        <is>
          <t>British Columbia</t>
        </is>
      </c>
      <c r="F233" s="3" t="inlineStr">
        <is>
          <t>Road Bikes</t>
        </is>
      </c>
      <c r="G233" s="3" t="inlineStr">
        <is>
          <t>Red</t>
        </is>
      </c>
      <c r="H233" s="3" t="inlineStr">
        <is>
          <t>Road-250 Red, 48</t>
        </is>
      </c>
      <c r="I233" s="4" t="n">
        <v>1</v>
      </c>
      <c r="J233" s="24" t="n">
        <v>580</v>
      </c>
      <c r="K233" s="24" t="n">
        <v>920</v>
      </c>
      <c r="L233" s="25">
        <f>I233*K233</f>
        <v/>
      </c>
      <c r="M233" s="25">
        <f>I233*J233</f>
        <v/>
      </c>
      <c r="N233" s="25">
        <f>L233-M233</f>
        <v/>
      </c>
      <c r="O233" s="26">
        <f>IFERROR(N233/L233,0)</f>
        <v/>
      </c>
      <c r="P233">
        <f>YEAR(A233)</f>
        <v/>
      </c>
      <c r="Q233">
        <f>TEXT(A233,"mmm")</f>
        <v/>
      </c>
      <c r="R233">
        <f>IF(B233&lt;25,"18-24",IF(B233&lt;35,"25-34",IF(B233&lt;45,"35-44","45+")))</f>
        <v/>
      </c>
    </row>
    <row r="234">
      <c r="A234" s="23" t="n">
        <v>44542</v>
      </c>
      <c r="B234" s="3" t="n">
        <v>28</v>
      </c>
      <c r="C234" s="3" t="inlineStr">
        <is>
          <t>M</t>
        </is>
      </c>
      <c r="D234" s="3" t="inlineStr">
        <is>
          <t>France</t>
        </is>
      </c>
      <c r="E234" s="3" t="inlineStr">
        <is>
          <t>Nord</t>
        </is>
      </c>
      <c r="F234" s="3" t="inlineStr">
        <is>
          <t>Road Bikes</t>
        </is>
      </c>
      <c r="G234" s="3" t="inlineStr">
        <is>
          <t>Red</t>
        </is>
      </c>
      <c r="H234" s="3" t="inlineStr">
        <is>
          <t>Road-150 Red, 44</t>
        </is>
      </c>
      <c r="I234" s="4" t="n">
        <v>3</v>
      </c>
      <c r="J234" s="24" t="n">
        <v>900</v>
      </c>
      <c r="K234" s="24" t="n">
        <v>1400</v>
      </c>
      <c r="L234" s="25">
        <f>I234*K234</f>
        <v/>
      </c>
      <c r="M234" s="25">
        <f>I234*J234</f>
        <v/>
      </c>
      <c r="N234" s="25">
        <f>L234-M234</f>
        <v/>
      </c>
      <c r="O234" s="26">
        <f>IFERROR(N234/L234,0)</f>
        <v/>
      </c>
      <c r="P234">
        <f>YEAR(A234)</f>
        <v/>
      </c>
      <c r="Q234">
        <f>TEXT(A234,"mmm")</f>
        <v/>
      </c>
      <c r="R234">
        <f>IF(B234&lt;25,"18-24",IF(B234&lt;35,"25-34",IF(B234&lt;45,"35-44","45+")))</f>
        <v/>
      </c>
    </row>
    <row r="235">
      <c r="A235" s="23" t="n">
        <v>44543</v>
      </c>
      <c r="B235" s="3" t="n">
        <v>28</v>
      </c>
      <c r="C235" s="3" t="inlineStr">
        <is>
          <t>M</t>
        </is>
      </c>
      <c r="D235" s="3" t="inlineStr">
        <is>
          <t>Australia</t>
        </is>
      </c>
      <c r="E235" s="3" t="inlineStr">
        <is>
          <t>New South Wales</t>
        </is>
      </c>
      <c r="F235" s="3" t="inlineStr">
        <is>
          <t>Road Bikes</t>
        </is>
      </c>
      <c r="G235" s="3" t="inlineStr">
        <is>
          <t>Yellow</t>
        </is>
      </c>
      <c r="H235" s="3" t="inlineStr">
        <is>
          <t>Road-350-W Yellow, 42</t>
        </is>
      </c>
      <c r="I235" s="4" t="n">
        <v>4</v>
      </c>
      <c r="J235" s="24" t="n">
        <v>530</v>
      </c>
      <c r="K235" s="24" t="n">
        <v>840</v>
      </c>
      <c r="L235" s="25">
        <f>I235*K235</f>
        <v/>
      </c>
      <c r="M235" s="25">
        <f>I235*J235</f>
        <v/>
      </c>
      <c r="N235" s="25">
        <f>L235-M235</f>
        <v/>
      </c>
      <c r="O235" s="26">
        <f>IFERROR(N235/L235,0)</f>
        <v/>
      </c>
      <c r="P235">
        <f>YEAR(A235)</f>
        <v/>
      </c>
      <c r="Q235">
        <f>TEXT(A235,"mmm")</f>
        <v/>
      </c>
      <c r="R235">
        <f>IF(B235&lt;25,"18-24",IF(B235&lt;35,"25-34",IF(B235&lt;45,"35-44","45+")))</f>
        <v/>
      </c>
    </row>
    <row r="236">
      <c r="A236" s="23" t="n">
        <v>44543</v>
      </c>
      <c r="B236" s="3" t="n">
        <v>28</v>
      </c>
      <c r="C236" s="3" t="inlineStr">
        <is>
          <t>F</t>
        </is>
      </c>
      <c r="D236" s="3" t="inlineStr">
        <is>
          <t>France</t>
        </is>
      </c>
      <c r="E236" s="3" t="inlineStr">
        <is>
          <t>Moselle</t>
        </is>
      </c>
      <c r="F236" s="3" t="inlineStr">
        <is>
          <t>Road Bikes</t>
        </is>
      </c>
      <c r="G236" s="3" t="inlineStr">
        <is>
          <t>Yellow</t>
        </is>
      </c>
      <c r="H236" s="3" t="inlineStr">
        <is>
          <t>Road-350-W Yellow, 40</t>
        </is>
      </c>
      <c r="I236" s="4" t="n">
        <v>2</v>
      </c>
      <c r="J236" s="24" t="n">
        <v>530</v>
      </c>
      <c r="K236" s="24" t="n">
        <v>840</v>
      </c>
      <c r="L236" s="25">
        <f>I236*K236</f>
        <v/>
      </c>
      <c r="M236" s="25">
        <f>I236*J236</f>
        <v/>
      </c>
      <c r="N236" s="25">
        <f>L236-M236</f>
        <v/>
      </c>
      <c r="O236" s="26">
        <f>IFERROR(N236/L236,0)</f>
        <v/>
      </c>
      <c r="P236">
        <f>YEAR(A236)</f>
        <v/>
      </c>
      <c r="Q236">
        <f>TEXT(A236,"mmm")</f>
        <v/>
      </c>
      <c r="R236">
        <f>IF(B236&lt;25,"18-24",IF(B236&lt;35,"25-34",IF(B236&lt;45,"35-44","45+")))</f>
        <v/>
      </c>
    </row>
    <row r="237">
      <c r="A237" s="23" t="n">
        <v>44545</v>
      </c>
      <c r="B237" s="3" t="n">
        <v>28</v>
      </c>
      <c r="C237" s="3" t="inlineStr">
        <is>
          <t>F</t>
        </is>
      </c>
      <c r="D237" s="3" t="inlineStr">
        <is>
          <t>Australia</t>
        </is>
      </c>
      <c r="E237" s="3" t="inlineStr">
        <is>
          <t>New South Wales</t>
        </is>
      </c>
      <c r="F237" s="3" t="inlineStr">
        <is>
          <t>Road Bikes</t>
        </is>
      </c>
      <c r="G237" s="3" t="inlineStr">
        <is>
          <t>Black</t>
        </is>
      </c>
      <c r="H237" s="3" t="inlineStr">
        <is>
          <t>Road-250 Black, 52</t>
        </is>
      </c>
      <c r="I237" s="4" t="n">
        <v>4</v>
      </c>
      <c r="J237" s="24" t="n">
        <v>580</v>
      </c>
      <c r="K237" s="24" t="n">
        <v>920</v>
      </c>
      <c r="L237" s="25">
        <f>I237*K237</f>
        <v/>
      </c>
      <c r="M237" s="25">
        <f>I237*J237</f>
        <v/>
      </c>
      <c r="N237" s="25">
        <f>L237-M237</f>
        <v/>
      </c>
      <c r="O237" s="26">
        <f>IFERROR(N237/L237,0)</f>
        <v/>
      </c>
      <c r="P237">
        <f>YEAR(A237)</f>
        <v/>
      </c>
      <c r="Q237">
        <f>TEXT(A237,"mmm")</f>
        <v/>
      </c>
      <c r="R237">
        <f>IF(B237&lt;25,"18-24",IF(B237&lt;35,"25-34",IF(B237&lt;45,"35-44","45+")))</f>
        <v/>
      </c>
    </row>
    <row r="238">
      <c r="A238" s="23" t="n">
        <v>44546</v>
      </c>
      <c r="B238" s="3" t="n">
        <v>28</v>
      </c>
      <c r="C238" s="3" t="inlineStr">
        <is>
          <t>M</t>
        </is>
      </c>
      <c r="D238" s="3" t="inlineStr">
        <is>
          <t>France</t>
        </is>
      </c>
      <c r="E238" s="3" t="inlineStr">
        <is>
          <t>Seine (Paris)</t>
        </is>
      </c>
      <c r="F238" s="3" t="inlineStr">
        <is>
          <t>Road Bikes</t>
        </is>
      </c>
      <c r="G238" s="3" t="inlineStr">
        <is>
          <t>Yellow</t>
        </is>
      </c>
      <c r="H238" s="3" t="inlineStr">
        <is>
          <t>Road-550-W Yellow, 44</t>
        </is>
      </c>
      <c r="I238" s="4" t="n">
        <v>1</v>
      </c>
      <c r="J238" s="24" t="n">
        <v>500</v>
      </c>
      <c r="K238" s="24" t="n">
        <v>800</v>
      </c>
      <c r="L238" s="25">
        <f>I238*K238</f>
        <v/>
      </c>
      <c r="M238" s="25">
        <f>I238*J238</f>
        <v/>
      </c>
      <c r="N238" s="25">
        <f>L238-M238</f>
        <v/>
      </c>
      <c r="O238" s="26">
        <f>IFERROR(N238/L238,0)</f>
        <v/>
      </c>
      <c r="P238">
        <f>YEAR(A238)</f>
        <v/>
      </c>
      <c r="Q238">
        <f>TEXT(A238,"mmm")</f>
        <v/>
      </c>
      <c r="R238">
        <f>IF(B238&lt;25,"18-24",IF(B238&lt;35,"25-34",IF(B238&lt;45,"35-44","45+")))</f>
        <v/>
      </c>
    </row>
    <row r="239">
      <c r="A239" s="23" t="n">
        <v>44552</v>
      </c>
      <c r="B239" s="3" t="n">
        <v>28</v>
      </c>
      <c r="C239" s="3" t="inlineStr">
        <is>
          <t>M</t>
        </is>
      </c>
      <c r="D239" s="3" t="inlineStr">
        <is>
          <t>United States</t>
        </is>
      </c>
      <c r="E239" s="3" t="inlineStr">
        <is>
          <t>California</t>
        </is>
      </c>
      <c r="F239" s="3" t="inlineStr">
        <is>
          <t>Road Bikes</t>
        </is>
      </c>
      <c r="G239" s="3" t="inlineStr">
        <is>
          <t>Red</t>
        </is>
      </c>
      <c r="H239" s="3" t="inlineStr">
        <is>
          <t>Road-150 Red, 62</t>
        </is>
      </c>
      <c r="I239" s="4" t="n">
        <v>2</v>
      </c>
      <c r="J239" s="24" t="n">
        <v>900</v>
      </c>
      <c r="K239" s="24" t="n">
        <v>1400</v>
      </c>
      <c r="L239" s="25">
        <f>I239*K239</f>
        <v/>
      </c>
      <c r="M239" s="25">
        <f>I239*J239</f>
        <v/>
      </c>
      <c r="N239" s="25">
        <f>L239-M239</f>
        <v/>
      </c>
      <c r="O239" s="26">
        <f>IFERROR(N239/L239,0)</f>
        <v/>
      </c>
      <c r="P239">
        <f>YEAR(A239)</f>
        <v/>
      </c>
      <c r="Q239">
        <f>TEXT(A239,"mmm")</f>
        <v/>
      </c>
      <c r="R239">
        <f>IF(B239&lt;25,"18-24",IF(B239&lt;35,"25-34",IF(B239&lt;45,"35-44","45+")))</f>
        <v/>
      </c>
    </row>
    <row r="240">
      <c r="A240" s="23" t="n">
        <v>44552</v>
      </c>
      <c r="B240" s="3" t="n">
        <v>28</v>
      </c>
      <c r="C240" s="3" t="inlineStr">
        <is>
          <t>F</t>
        </is>
      </c>
      <c r="D240" s="3" t="inlineStr">
        <is>
          <t>United States</t>
        </is>
      </c>
      <c r="E240" s="3" t="inlineStr">
        <is>
          <t>California</t>
        </is>
      </c>
      <c r="F240" s="3" t="inlineStr">
        <is>
          <t>Road Bikes</t>
        </is>
      </c>
      <c r="G240" s="3" t="inlineStr">
        <is>
          <t>Black</t>
        </is>
      </c>
      <c r="H240" s="3" t="inlineStr">
        <is>
          <t>Road-750 Black, 44</t>
        </is>
      </c>
      <c r="I240" s="4" t="n">
        <v>1</v>
      </c>
      <c r="J240" s="24" t="n">
        <v>700</v>
      </c>
      <c r="K240" s="24" t="n">
        <v>1100</v>
      </c>
      <c r="L240" s="25">
        <f>I240*K240</f>
        <v/>
      </c>
      <c r="M240" s="25">
        <f>I240*J240</f>
        <v/>
      </c>
      <c r="N240" s="25">
        <f>L240-M240</f>
        <v/>
      </c>
      <c r="O240" s="26">
        <f>IFERROR(N240/L240,0)</f>
        <v/>
      </c>
      <c r="P240">
        <f>YEAR(A240)</f>
        <v/>
      </c>
      <c r="Q240">
        <f>TEXT(A240,"mmm")</f>
        <v/>
      </c>
      <c r="R240">
        <f>IF(B240&lt;25,"18-24",IF(B240&lt;35,"25-34",IF(B240&lt;45,"35-44","45+")))</f>
        <v/>
      </c>
    </row>
    <row r="241">
      <c r="A241" s="23" t="n">
        <v>44556</v>
      </c>
      <c r="B241" s="3" t="n">
        <v>28</v>
      </c>
      <c r="C241" s="3" t="inlineStr">
        <is>
          <t>M</t>
        </is>
      </c>
      <c r="D241" s="3" t="inlineStr">
        <is>
          <t>France</t>
        </is>
      </c>
      <c r="E241" s="3" t="inlineStr">
        <is>
          <t>Seine Saint Denis</t>
        </is>
      </c>
      <c r="F241" s="3" t="inlineStr">
        <is>
          <t>Road Bikes</t>
        </is>
      </c>
      <c r="G241" s="3" t="inlineStr">
        <is>
          <t>Red</t>
        </is>
      </c>
      <c r="H241" s="3" t="inlineStr">
        <is>
          <t>Road-250 Red, 44</t>
        </is>
      </c>
      <c r="I241" s="4" t="n">
        <v>1</v>
      </c>
      <c r="J241" s="24" t="n">
        <v>580</v>
      </c>
      <c r="K241" s="24" t="n">
        <v>920</v>
      </c>
      <c r="L241" s="25">
        <f>I241*K241</f>
        <v/>
      </c>
      <c r="M241" s="25">
        <f>I241*J241</f>
        <v/>
      </c>
      <c r="N241" s="25">
        <f>L241-M241</f>
        <v/>
      </c>
      <c r="O241" s="26">
        <f>IFERROR(N241/L241,0)</f>
        <v/>
      </c>
      <c r="P241">
        <f>YEAR(A241)</f>
        <v/>
      </c>
      <c r="Q241">
        <f>TEXT(A241,"mmm")</f>
        <v/>
      </c>
      <c r="R241">
        <f>IF(B241&lt;25,"18-24",IF(B241&lt;35,"25-34",IF(B241&lt;45,"35-44","45+")))</f>
        <v/>
      </c>
    </row>
    <row r="242">
      <c r="A242" s="23" t="n">
        <v>44471</v>
      </c>
      <c r="B242" s="3" t="n">
        <v>29</v>
      </c>
      <c r="C242" s="3" t="inlineStr">
        <is>
          <t>F</t>
        </is>
      </c>
      <c r="D242" s="3" t="inlineStr">
        <is>
          <t>Australia</t>
        </is>
      </c>
      <c r="E242" s="3" t="inlineStr">
        <is>
          <t>New South Wales</t>
        </is>
      </c>
      <c r="F242" s="3" t="inlineStr">
        <is>
          <t>Mountain Bikes</t>
        </is>
      </c>
      <c r="G242" s="3" t="inlineStr">
        <is>
          <t>Silver</t>
        </is>
      </c>
      <c r="H242" s="3" t="inlineStr">
        <is>
          <t>Mountain-200 Silver, 38</t>
        </is>
      </c>
      <c r="I242" s="4" t="n">
        <v>3</v>
      </c>
      <c r="J242" s="24" t="n">
        <v>550</v>
      </c>
      <c r="K242" s="24" t="n">
        <v>850</v>
      </c>
      <c r="L242" s="25">
        <f>I242*K242</f>
        <v/>
      </c>
      <c r="M242" s="25">
        <f>I242*J242</f>
        <v/>
      </c>
      <c r="N242" s="25">
        <f>L242-M242</f>
        <v/>
      </c>
      <c r="O242" s="26">
        <f>IFERROR(N242/L242,0)</f>
        <v/>
      </c>
      <c r="P242">
        <f>YEAR(A242)</f>
        <v/>
      </c>
      <c r="Q242">
        <f>TEXT(A242,"mmm")</f>
        <v/>
      </c>
      <c r="R242">
        <f>IF(B242&lt;25,"18-24",IF(B242&lt;35,"25-34",IF(B242&lt;45,"35-44","45+")))</f>
        <v/>
      </c>
    </row>
    <row r="243">
      <c r="A243" s="23" t="n">
        <v>44473</v>
      </c>
      <c r="B243" s="3" t="n">
        <v>29</v>
      </c>
      <c r="C243" s="3" t="inlineStr">
        <is>
          <t>M</t>
        </is>
      </c>
      <c r="D243" s="3" t="inlineStr">
        <is>
          <t>France</t>
        </is>
      </c>
      <c r="E243" s="3" t="inlineStr">
        <is>
          <t>Nord</t>
        </is>
      </c>
      <c r="F243" s="3" t="inlineStr">
        <is>
          <t>Road Bikes</t>
        </is>
      </c>
      <c r="G243" s="3" t="inlineStr">
        <is>
          <t>Red</t>
        </is>
      </c>
      <c r="H243" s="3" t="inlineStr">
        <is>
          <t>Road-150 Red, 48</t>
        </is>
      </c>
      <c r="I243" s="4" t="n">
        <v>2</v>
      </c>
      <c r="J243" s="24" t="n">
        <v>900</v>
      </c>
      <c r="K243" s="24" t="n">
        <v>1400</v>
      </c>
      <c r="L243" s="25">
        <f>I243*K243</f>
        <v/>
      </c>
      <c r="M243" s="25">
        <f>I243*J243</f>
        <v/>
      </c>
      <c r="N243" s="25">
        <f>L243-M243</f>
        <v/>
      </c>
      <c r="O243" s="26">
        <f>IFERROR(N243/L243,0)</f>
        <v/>
      </c>
      <c r="P243">
        <f>YEAR(A243)</f>
        <v/>
      </c>
      <c r="Q243">
        <f>TEXT(A243,"mmm")</f>
        <v/>
      </c>
      <c r="R243">
        <f>IF(B243&lt;25,"18-24",IF(B243&lt;35,"25-34",IF(B243&lt;45,"35-44","45+")))</f>
        <v/>
      </c>
    </row>
    <row r="244">
      <c r="A244" s="23" t="n">
        <v>44475</v>
      </c>
      <c r="B244" s="3" t="n">
        <v>29</v>
      </c>
      <c r="C244" s="3" t="inlineStr">
        <is>
          <t>F</t>
        </is>
      </c>
      <c r="D244" s="3" t="inlineStr">
        <is>
          <t>France</t>
        </is>
      </c>
      <c r="E244" s="3" t="inlineStr">
        <is>
          <t>Hauts de Seine</t>
        </is>
      </c>
      <c r="F244" s="3" t="inlineStr">
        <is>
          <t>Mountain Bikes</t>
        </is>
      </c>
      <c r="G244" s="3" t="inlineStr">
        <is>
          <t>Silver</t>
        </is>
      </c>
      <c r="H244" s="3" t="inlineStr">
        <is>
          <t>Mountain-200 Silver, 46</t>
        </is>
      </c>
      <c r="I244" s="4" t="n">
        <v>1</v>
      </c>
      <c r="J244" s="24" t="n">
        <v>550</v>
      </c>
      <c r="K244" s="24" t="n">
        <v>850</v>
      </c>
      <c r="L244" s="25">
        <f>I244*K244</f>
        <v/>
      </c>
      <c r="M244" s="25">
        <f>I244*J244</f>
        <v/>
      </c>
      <c r="N244" s="25">
        <f>L244-M244</f>
        <v/>
      </c>
      <c r="O244" s="26">
        <f>IFERROR(N244/L244,0)</f>
        <v/>
      </c>
      <c r="P244">
        <f>YEAR(A244)</f>
        <v/>
      </c>
      <c r="Q244">
        <f>TEXT(A244,"mmm")</f>
        <v/>
      </c>
      <c r="R244">
        <f>IF(B244&lt;25,"18-24",IF(B244&lt;35,"25-34",IF(B244&lt;45,"35-44","45+")))</f>
        <v/>
      </c>
    </row>
    <row r="245">
      <c r="A245" s="23" t="n">
        <v>44482</v>
      </c>
      <c r="B245" s="3" t="n">
        <v>29</v>
      </c>
      <c r="C245" s="3" t="inlineStr">
        <is>
          <t>M</t>
        </is>
      </c>
      <c r="D245" s="3" t="inlineStr">
        <is>
          <t>Australia</t>
        </is>
      </c>
      <c r="E245" s="3" t="inlineStr">
        <is>
          <t>South Australia</t>
        </is>
      </c>
      <c r="F245" s="3" t="inlineStr">
        <is>
          <t>Road Bikes</t>
        </is>
      </c>
      <c r="G245" s="3" t="inlineStr">
        <is>
          <t>Yellow</t>
        </is>
      </c>
      <c r="H245" s="3" t="inlineStr">
        <is>
          <t>Road-350-W Yellow, 40</t>
        </is>
      </c>
      <c r="I245" s="4" t="n">
        <v>1</v>
      </c>
      <c r="J245" s="24" t="n">
        <v>530</v>
      </c>
      <c r="K245" s="24" t="n">
        <v>840</v>
      </c>
      <c r="L245" s="25">
        <f>I245*K245</f>
        <v/>
      </c>
      <c r="M245" s="25">
        <f>I245*J245</f>
        <v/>
      </c>
      <c r="N245" s="25">
        <f>L245-M245</f>
        <v/>
      </c>
      <c r="O245" s="26">
        <f>IFERROR(N245/L245,0)</f>
        <v/>
      </c>
      <c r="P245">
        <f>YEAR(A245)</f>
        <v/>
      </c>
      <c r="Q245">
        <f>TEXT(A245,"mmm")</f>
        <v/>
      </c>
      <c r="R245">
        <f>IF(B245&lt;25,"18-24",IF(B245&lt;35,"25-34",IF(B245&lt;45,"35-44","45+")))</f>
        <v/>
      </c>
    </row>
    <row r="246">
      <c r="A246" s="23" t="n">
        <v>44484</v>
      </c>
      <c r="B246" s="3" t="n">
        <v>29</v>
      </c>
      <c r="C246" s="3" t="inlineStr">
        <is>
          <t>F</t>
        </is>
      </c>
      <c r="D246" s="3" t="inlineStr">
        <is>
          <t>United Kingdom</t>
        </is>
      </c>
      <c r="E246" s="3" t="inlineStr">
        <is>
          <t>England</t>
        </is>
      </c>
      <c r="F246" s="3" t="inlineStr">
        <is>
          <t>Road Bikes</t>
        </is>
      </c>
      <c r="G246" s="3" t="inlineStr">
        <is>
          <t>Yellow</t>
        </is>
      </c>
      <c r="H246" s="3" t="inlineStr">
        <is>
          <t>Road-550-W Yellow, 38</t>
        </is>
      </c>
      <c r="I246" s="4" t="n">
        <v>1</v>
      </c>
      <c r="J246" s="24" t="n">
        <v>500</v>
      </c>
      <c r="K246" s="24" t="n">
        <v>800</v>
      </c>
      <c r="L246" s="25">
        <f>I246*K246</f>
        <v/>
      </c>
      <c r="M246" s="25">
        <f>I246*J246</f>
        <v/>
      </c>
      <c r="N246" s="25">
        <f>L246-M246</f>
        <v/>
      </c>
      <c r="O246" s="26">
        <f>IFERROR(N246/L246,0)</f>
        <v/>
      </c>
      <c r="P246">
        <f>YEAR(A246)</f>
        <v/>
      </c>
      <c r="Q246">
        <f>TEXT(A246,"mmm")</f>
        <v/>
      </c>
      <c r="R246">
        <f>IF(B246&lt;25,"18-24",IF(B246&lt;35,"25-34",IF(B246&lt;45,"35-44","45+")))</f>
        <v/>
      </c>
    </row>
    <row r="247">
      <c r="A247" s="23" t="n">
        <v>44488</v>
      </c>
      <c r="B247" s="3" t="n">
        <v>29</v>
      </c>
      <c r="C247" s="3" t="inlineStr">
        <is>
          <t>M</t>
        </is>
      </c>
      <c r="D247" s="3" t="inlineStr">
        <is>
          <t>Australia</t>
        </is>
      </c>
      <c r="E247" s="3" t="inlineStr">
        <is>
          <t>New South Wales</t>
        </is>
      </c>
      <c r="F247" s="3" t="inlineStr">
        <is>
          <t>Mountain Bikes</t>
        </is>
      </c>
      <c r="G247" s="3" t="inlineStr">
        <is>
          <t>Black</t>
        </is>
      </c>
      <c r="H247" s="3" t="inlineStr">
        <is>
          <t>Mountain-200 Black, 46</t>
        </is>
      </c>
      <c r="I247" s="4" t="n">
        <v>3</v>
      </c>
      <c r="J247" s="24" t="n">
        <v>550</v>
      </c>
      <c r="K247" s="24" t="n">
        <v>850</v>
      </c>
      <c r="L247" s="25">
        <f>I247*K247</f>
        <v/>
      </c>
      <c r="M247" s="25">
        <f>I247*J247</f>
        <v/>
      </c>
      <c r="N247" s="25">
        <f>L247-M247</f>
        <v/>
      </c>
      <c r="O247" s="26">
        <f>IFERROR(N247/L247,0)</f>
        <v/>
      </c>
      <c r="P247">
        <f>YEAR(A247)</f>
        <v/>
      </c>
      <c r="Q247">
        <f>TEXT(A247,"mmm")</f>
        <v/>
      </c>
      <c r="R247">
        <f>IF(B247&lt;25,"18-24",IF(B247&lt;35,"25-34",IF(B247&lt;45,"35-44","45+")))</f>
        <v/>
      </c>
    </row>
    <row r="248">
      <c r="A248" s="23" t="n">
        <v>44488</v>
      </c>
      <c r="B248" s="3" t="n">
        <v>29</v>
      </c>
      <c r="C248" s="3" t="inlineStr">
        <is>
          <t>M</t>
        </is>
      </c>
      <c r="D248" s="3" t="inlineStr">
        <is>
          <t>France</t>
        </is>
      </c>
      <c r="E248" s="3" t="inlineStr">
        <is>
          <t>Hauts de Seine</t>
        </is>
      </c>
      <c r="F248" s="3" t="inlineStr">
        <is>
          <t>Mountain Bikes</t>
        </is>
      </c>
      <c r="G248" s="3" t="inlineStr">
        <is>
          <t>Black</t>
        </is>
      </c>
      <c r="H248" s="3" t="inlineStr">
        <is>
          <t>Mountain-200 Black, 46</t>
        </is>
      </c>
      <c r="I248" s="4" t="n">
        <v>1</v>
      </c>
      <c r="J248" s="24" t="n">
        <v>550</v>
      </c>
      <c r="K248" s="24" t="n">
        <v>850</v>
      </c>
      <c r="L248" s="25">
        <f>I248*K248</f>
        <v/>
      </c>
      <c r="M248" s="25">
        <f>I248*J248</f>
        <v/>
      </c>
      <c r="N248" s="25">
        <f>L248-M248</f>
        <v/>
      </c>
      <c r="O248" s="26">
        <f>IFERROR(N248/L248,0)</f>
        <v/>
      </c>
      <c r="P248">
        <f>YEAR(A248)</f>
        <v/>
      </c>
      <c r="Q248">
        <f>TEXT(A248,"mmm")</f>
        <v/>
      </c>
      <c r="R248">
        <f>IF(B248&lt;25,"18-24",IF(B248&lt;35,"25-34",IF(B248&lt;45,"35-44","45+")))</f>
        <v/>
      </c>
    </row>
    <row r="249">
      <c r="A249" s="23" t="n">
        <v>44489</v>
      </c>
      <c r="B249" s="3" t="n">
        <v>29</v>
      </c>
      <c r="C249" s="3" t="inlineStr">
        <is>
          <t>F</t>
        </is>
      </c>
      <c r="D249" s="3" t="inlineStr">
        <is>
          <t>United Kingdom</t>
        </is>
      </c>
      <c r="E249" s="3" t="inlineStr">
        <is>
          <t>England</t>
        </is>
      </c>
      <c r="F249" s="3" t="inlineStr">
        <is>
          <t>Road Bikes</t>
        </is>
      </c>
      <c r="G249" s="3" t="inlineStr">
        <is>
          <t>Yellow</t>
        </is>
      </c>
      <c r="H249" s="3" t="inlineStr">
        <is>
          <t>Road-550-W Yellow, 38</t>
        </is>
      </c>
      <c r="I249" s="4" t="n">
        <v>1</v>
      </c>
      <c r="J249" s="24" t="n">
        <v>500</v>
      </c>
      <c r="K249" s="24" t="n">
        <v>800</v>
      </c>
      <c r="L249" s="25">
        <f>I249*K249</f>
        <v/>
      </c>
      <c r="M249" s="25">
        <f>I249*J249</f>
        <v/>
      </c>
      <c r="N249" s="25">
        <f>L249-M249</f>
        <v/>
      </c>
      <c r="O249" s="26">
        <f>IFERROR(N249/L249,0)</f>
        <v/>
      </c>
      <c r="P249">
        <f>YEAR(A249)</f>
        <v/>
      </c>
      <c r="Q249">
        <f>TEXT(A249,"mmm")</f>
        <v/>
      </c>
      <c r="R249">
        <f>IF(B249&lt;25,"18-24",IF(B249&lt;35,"25-34",IF(B249&lt;45,"35-44","45+")))</f>
        <v/>
      </c>
    </row>
    <row r="250">
      <c r="A250" s="23" t="n">
        <v>44489</v>
      </c>
      <c r="B250" s="3" t="n">
        <v>29</v>
      </c>
      <c r="C250" s="3" t="inlineStr">
        <is>
          <t>M</t>
        </is>
      </c>
      <c r="D250" s="3" t="inlineStr">
        <is>
          <t>Canada</t>
        </is>
      </c>
      <c r="E250" s="3" t="inlineStr">
        <is>
          <t>British Columbia</t>
        </is>
      </c>
      <c r="F250" s="3" t="inlineStr">
        <is>
          <t>Road Bikes</t>
        </is>
      </c>
      <c r="G250" s="3" t="inlineStr">
        <is>
          <t>Black</t>
        </is>
      </c>
      <c r="H250" s="3" t="inlineStr">
        <is>
          <t>Road-750 Black, 48</t>
        </is>
      </c>
      <c r="I250" s="4" t="n">
        <v>1</v>
      </c>
      <c r="J250" s="24" t="n">
        <v>700</v>
      </c>
      <c r="K250" s="24" t="n">
        <v>1100</v>
      </c>
      <c r="L250" s="25">
        <f>I250*K250</f>
        <v/>
      </c>
      <c r="M250" s="25">
        <f>I250*J250</f>
        <v/>
      </c>
      <c r="N250" s="25">
        <f>L250-M250</f>
        <v/>
      </c>
      <c r="O250" s="26">
        <f>IFERROR(N250/L250,0)</f>
        <v/>
      </c>
      <c r="P250">
        <f>YEAR(A250)</f>
        <v/>
      </c>
      <c r="Q250">
        <f>TEXT(A250,"mmm")</f>
        <v/>
      </c>
      <c r="R250">
        <f>IF(B250&lt;25,"18-24",IF(B250&lt;35,"25-34",IF(B250&lt;45,"35-44","45+")))</f>
        <v/>
      </c>
    </row>
    <row r="251">
      <c r="A251" s="23" t="n">
        <v>44492</v>
      </c>
      <c r="B251" s="3" t="n">
        <v>29</v>
      </c>
      <c r="C251" s="3" t="inlineStr">
        <is>
          <t>M</t>
        </is>
      </c>
      <c r="D251" s="3" t="inlineStr">
        <is>
          <t>United Kingdom</t>
        </is>
      </c>
      <c r="E251" s="3" t="inlineStr">
        <is>
          <t>England</t>
        </is>
      </c>
      <c r="F251" s="3" t="inlineStr">
        <is>
          <t>Road Bikes</t>
        </is>
      </c>
      <c r="G251" s="3" t="inlineStr">
        <is>
          <t>Yellow</t>
        </is>
      </c>
      <c r="H251" s="3" t="inlineStr">
        <is>
          <t>Road-350-W Yellow, 48</t>
        </is>
      </c>
      <c r="I251" s="4" t="n">
        <v>1</v>
      </c>
      <c r="J251" s="24" t="n">
        <v>530</v>
      </c>
      <c r="K251" s="24" t="n">
        <v>840</v>
      </c>
      <c r="L251" s="25">
        <f>I251*K251</f>
        <v/>
      </c>
      <c r="M251" s="25">
        <f>I251*J251</f>
        <v/>
      </c>
      <c r="N251" s="25">
        <f>L251-M251</f>
        <v/>
      </c>
      <c r="O251" s="26">
        <f>IFERROR(N251/L251,0)</f>
        <v/>
      </c>
      <c r="P251">
        <f>YEAR(A251)</f>
        <v/>
      </c>
      <c r="Q251">
        <f>TEXT(A251,"mmm")</f>
        <v/>
      </c>
      <c r="R251">
        <f>IF(B251&lt;25,"18-24",IF(B251&lt;35,"25-34",IF(B251&lt;45,"35-44","45+")))</f>
        <v/>
      </c>
    </row>
    <row r="252">
      <c r="A252" s="23" t="n">
        <v>44498</v>
      </c>
      <c r="B252" s="3" t="n">
        <v>29</v>
      </c>
      <c r="C252" s="3" t="inlineStr">
        <is>
          <t>F</t>
        </is>
      </c>
      <c r="D252" s="3" t="inlineStr">
        <is>
          <t>Australia</t>
        </is>
      </c>
      <c r="E252" s="3" t="inlineStr">
        <is>
          <t>New South Wales</t>
        </is>
      </c>
      <c r="F252" s="3" t="inlineStr">
        <is>
          <t>Road Bikes</t>
        </is>
      </c>
      <c r="G252" s="3" t="inlineStr">
        <is>
          <t>Black</t>
        </is>
      </c>
      <c r="H252" s="3" t="inlineStr">
        <is>
          <t>Road-250 Black, 44</t>
        </is>
      </c>
      <c r="I252" s="4" t="n">
        <v>3</v>
      </c>
      <c r="J252" s="24" t="n">
        <v>580</v>
      </c>
      <c r="K252" s="24" t="n">
        <v>920</v>
      </c>
      <c r="L252" s="25">
        <f>I252*K252</f>
        <v/>
      </c>
      <c r="M252" s="25">
        <f>I252*J252</f>
        <v/>
      </c>
      <c r="N252" s="25">
        <f>L252-M252</f>
        <v/>
      </c>
      <c r="O252" s="26">
        <f>IFERROR(N252/L252,0)</f>
        <v/>
      </c>
      <c r="P252">
        <f>YEAR(A252)</f>
        <v/>
      </c>
      <c r="Q252">
        <f>TEXT(A252,"mmm")</f>
        <v/>
      </c>
      <c r="R252">
        <f>IF(B252&lt;25,"18-24",IF(B252&lt;35,"25-34",IF(B252&lt;45,"35-44","45+")))</f>
        <v/>
      </c>
    </row>
    <row r="253">
      <c r="A253" s="23" t="n">
        <v>44503</v>
      </c>
      <c r="B253" s="3" t="n">
        <v>29</v>
      </c>
      <c r="C253" s="3" t="inlineStr">
        <is>
          <t>M</t>
        </is>
      </c>
      <c r="D253" s="3" t="inlineStr">
        <is>
          <t>Germany</t>
        </is>
      </c>
      <c r="E253" s="3" t="inlineStr">
        <is>
          <t>Saarland</t>
        </is>
      </c>
      <c r="F253" s="3" t="inlineStr">
        <is>
          <t>Road Bikes</t>
        </is>
      </c>
      <c r="G253" s="3" t="inlineStr">
        <is>
          <t>Red</t>
        </is>
      </c>
      <c r="H253" s="3" t="inlineStr">
        <is>
          <t>Road-150 Red, 52</t>
        </is>
      </c>
      <c r="I253" s="4" t="n">
        <v>1</v>
      </c>
      <c r="J253" s="24" t="n">
        <v>900</v>
      </c>
      <c r="K253" s="24" t="n">
        <v>1400</v>
      </c>
      <c r="L253" s="25">
        <f>I253*K253</f>
        <v/>
      </c>
      <c r="M253" s="25">
        <f>I253*J253</f>
        <v/>
      </c>
      <c r="N253" s="25">
        <f>L253-M253</f>
        <v/>
      </c>
      <c r="O253" s="26">
        <f>IFERROR(N253/L253,0)</f>
        <v/>
      </c>
      <c r="P253">
        <f>YEAR(A253)</f>
        <v/>
      </c>
      <c r="Q253">
        <f>TEXT(A253,"mmm")</f>
        <v/>
      </c>
      <c r="R253">
        <f>IF(B253&lt;25,"18-24",IF(B253&lt;35,"25-34",IF(B253&lt;45,"35-44","45+")))</f>
        <v/>
      </c>
    </row>
    <row r="254">
      <c r="A254" s="23" t="n">
        <v>44506</v>
      </c>
      <c r="B254" s="3" t="n">
        <v>29</v>
      </c>
      <c r="C254" s="3" t="inlineStr">
        <is>
          <t>F</t>
        </is>
      </c>
      <c r="D254" s="3" t="inlineStr">
        <is>
          <t>France</t>
        </is>
      </c>
      <c r="E254" s="3" t="inlineStr">
        <is>
          <t>Seine Saint Denis</t>
        </is>
      </c>
      <c r="F254" s="3" t="inlineStr">
        <is>
          <t>Road Bikes</t>
        </is>
      </c>
      <c r="G254" s="3" t="inlineStr">
        <is>
          <t>Yellow</t>
        </is>
      </c>
      <c r="H254" s="3" t="inlineStr">
        <is>
          <t>Road-550-W Yellow, 48</t>
        </is>
      </c>
      <c r="I254" s="4" t="n">
        <v>1</v>
      </c>
      <c r="J254" s="24" t="n">
        <v>500</v>
      </c>
      <c r="K254" s="24" t="n">
        <v>800</v>
      </c>
      <c r="L254" s="25">
        <f>I254*K254</f>
        <v/>
      </c>
      <c r="M254" s="25">
        <f>I254*J254</f>
        <v/>
      </c>
      <c r="N254" s="25">
        <f>L254-M254</f>
        <v/>
      </c>
      <c r="O254" s="26">
        <f>IFERROR(N254/L254,0)</f>
        <v/>
      </c>
      <c r="P254">
        <f>YEAR(A254)</f>
        <v/>
      </c>
      <c r="Q254">
        <f>TEXT(A254,"mmm")</f>
        <v/>
      </c>
      <c r="R254">
        <f>IF(B254&lt;25,"18-24",IF(B254&lt;35,"25-34",IF(B254&lt;45,"35-44","45+")))</f>
        <v/>
      </c>
    </row>
    <row r="255">
      <c r="A255" s="23" t="n">
        <v>44506</v>
      </c>
      <c r="B255" s="3" t="n">
        <v>29</v>
      </c>
      <c r="C255" s="3" t="inlineStr">
        <is>
          <t>F</t>
        </is>
      </c>
      <c r="D255" s="3" t="inlineStr">
        <is>
          <t>United Kingdom</t>
        </is>
      </c>
      <c r="E255" s="3" t="inlineStr">
        <is>
          <t>England</t>
        </is>
      </c>
      <c r="F255" s="3" t="inlineStr">
        <is>
          <t>Road Bikes</t>
        </is>
      </c>
      <c r="G255" s="3" t="inlineStr">
        <is>
          <t>Yellow</t>
        </is>
      </c>
      <c r="H255" s="3" t="inlineStr">
        <is>
          <t>Road-550-W Yellow, 38</t>
        </is>
      </c>
      <c r="I255" s="4" t="n">
        <v>1</v>
      </c>
      <c r="J255" s="24" t="n">
        <v>500</v>
      </c>
      <c r="K255" s="24" t="n">
        <v>800</v>
      </c>
      <c r="L255" s="25">
        <f>I255*K255</f>
        <v/>
      </c>
      <c r="M255" s="25">
        <f>I255*J255</f>
        <v/>
      </c>
      <c r="N255" s="25">
        <f>L255-M255</f>
        <v/>
      </c>
      <c r="O255" s="26">
        <f>IFERROR(N255/L255,0)</f>
        <v/>
      </c>
      <c r="P255">
        <f>YEAR(A255)</f>
        <v/>
      </c>
      <c r="Q255">
        <f>TEXT(A255,"mmm")</f>
        <v/>
      </c>
      <c r="R255">
        <f>IF(B255&lt;25,"18-24",IF(B255&lt;35,"25-34",IF(B255&lt;45,"35-44","45+")))</f>
        <v/>
      </c>
    </row>
    <row r="256">
      <c r="A256" s="23" t="n">
        <v>44507</v>
      </c>
      <c r="B256" s="3" t="n">
        <v>29</v>
      </c>
      <c r="C256" s="3" t="inlineStr">
        <is>
          <t>M</t>
        </is>
      </c>
      <c r="D256" s="3" t="inlineStr">
        <is>
          <t>United States</t>
        </is>
      </c>
      <c r="E256" s="3" t="inlineStr">
        <is>
          <t>California</t>
        </is>
      </c>
      <c r="F256" s="3" t="inlineStr">
        <is>
          <t>Mountain Bikes</t>
        </is>
      </c>
      <c r="G256" s="3" t="inlineStr">
        <is>
          <t>Black</t>
        </is>
      </c>
      <c r="H256" s="3" t="inlineStr">
        <is>
          <t>Mountain-200 Black, 38</t>
        </is>
      </c>
      <c r="I256" s="4" t="n">
        <v>1</v>
      </c>
      <c r="J256" s="24" t="n">
        <v>550</v>
      </c>
      <c r="K256" s="24" t="n">
        <v>850</v>
      </c>
      <c r="L256" s="25">
        <f>I256*K256</f>
        <v/>
      </c>
      <c r="M256" s="25">
        <f>I256*J256</f>
        <v/>
      </c>
      <c r="N256" s="25">
        <f>L256-M256</f>
        <v/>
      </c>
      <c r="O256" s="26">
        <f>IFERROR(N256/L256,0)</f>
        <v/>
      </c>
      <c r="P256">
        <f>YEAR(A256)</f>
        <v/>
      </c>
      <c r="Q256">
        <f>TEXT(A256,"mmm")</f>
        <v/>
      </c>
      <c r="R256">
        <f>IF(B256&lt;25,"18-24",IF(B256&lt;35,"25-34",IF(B256&lt;45,"35-44","45+")))</f>
        <v/>
      </c>
    </row>
    <row r="257">
      <c r="A257" s="23" t="n">
        <v>44513</v>
      </c>
      <c r="B257" s="3" t="n">
        <v>29</v>
      </c>
      <c r="C257" s="3" t="inlineStr">
        <is>
          <t>F</t>
        </is>
      </c>
      <c r="D257" s="3" t="inlineStr">
        <is>
          <t>United States</t>
        </is>
      </c>
      <c r="E257" s="3" t="inlineStr">
        <is>
          <t>California</t>
        </is>
      </c>
      <c r="F257" s="3" t="inlineStr">
        <is>
          <t>Mountain Bikes</t>
        </is>
      </c>
      <c r="G257" s="3" t="inlineStr">
        <is>
          <t>Silver</t>
        </is>
      </c>
      <c r="H257" s="3" t="inlineStr">
        <is>
          <t>Mountain-200 Silver, 42</t>
        </is>
      </c>
      <c r="I257" s="4" t="n">
        <v>1</v>
      </c>
      <c r="J257" s="24" t="n">
        <v>550</v>
      </c>
      <c r="K257" s="24" t="n">
        <v>850</v>
      </c>
      <c r="L257" s="25">
        <f>I257*K257</f>
        <v/>
      </c>
      <c r="M257" s="25">
        <f>I257*J257</f>
        <v/>
      </c>
      <c r="N257" s="25">
        <f>L257-M257</f>
        <v/>
      </c>
      <c r="O257" s="26">
        <f>IFERROR(N257/L257,0)</f>
        <v/>
      </c>
      <c r="P257">
        <f>YEAR(A257)</f>
        <v/>
      </c>
      <c r="Q257">
        <f>TEXT(A257,"mmm")</f>
        <v/>
      </c>
      <c r="R257">
        <f>IF(B257&lt;25,"18-24",IF(B257&lt;35,"25-34",IF(B257&lt;45,"35-44","45+")))</f>
        <v/>
      </c>
    </row>
    <row r="258">
      <c r="A258" s="23" t="n">
        <v>44520</v>
      </c>
      <c r="B258" s="3" t="n">
        <v>29</v>
      </c>
      <c r="C258" s="3" t="inlineStr">
        <is>
          <t>M</t>
        </is>
      </c>
      <c r="D258" s="3" t="inlineStr">
        <is>
          <t>United States</t>
        </is>
      </c>
      <c r="E258" s="3" t="inlineStr">
        <is>
          <t>California</t>
        </is>
      </c>
      <c r="F258" s="3" t="inlineStr">
        <is>
          <t>Mountain Bikes</t>
        </is>
      </c>
      <c r="G258" s="3" t="inlineStr">
        <is>
          <t>Black</t>
        </is>
      </c>
      <c r="H258" s="3" t="inlineStr">
        <is>
          <t>Mountain-200 Black, 38</t>
        </is>
      </c>
      <c r="I258" s="4" t="n">
        <v>1</v>
      </c>
      <c r="J258" s="24" t="n">
        <v>550</v>
      </c>
      <c r="K258" s="24" t="n">
        <v>850</v>
      </c>
      <c r="L258" s="25">
        <f>I258*K258</f>
        <v/>
      </c>
      <c r="M258" s="25">
        <f>I258*J258</f>
        <v/>
      </c>
      <c r="N258" s="25">
        <f>L258-M258</f>
        <v/>
      </c>
      <c r="O258" s="26">
        <f>IFERROR(N258/L258,0)</f>
        <v/>
      </c>
      <c r="P258">
        <f>YEAR(A258)</f>
        <v/>
      </c>
      <c r="Q258">
        <f>TEXT(A258,"mmm")</f>
        <v/>
      </c>
      <c r="R258">
        <f>IF(B258&lt;25,"18-24",IF(B258&lt;35,"25-34",IF(B258&lt;45,"35-44","45+")))</f>
        <v/>
      </c>
    </row>
    <row r="259">
      <c r="A259" s="23" t="n">
        <v>44521</v>
      </c>
      <c r="B259" s="3" t="n">
        <v>29</v>
      </c>
      <c r="C259" s="3" t="inlineStr">
        <is>
          <t>M</t>
        </is>
      </c>
      <c r="D259" s="3" t="inlineStr">
        <is>
          <t>United Kingdom</t>
        </is>
      </c>
      <c r="E259" s="3" t="inlineStr">
        <is>
          <t>England</t>
        </is>
      </c>
      <c r="F259" s="3" t="inlineStr">
        <is>
          <t>Mountain Bikes</t>
        </is>
      </c>
      <c r="G259" s="3" t="inlineStr">
        <is>
          <t>Black</t>
        </is>
      </c>
      <c r="H259" s="3" t="inlineStr">
        <is>
          <t>Mountain-200 Black, 38</t>
        </is>
      </c>
      <c r="I259" s="4" t="n">
        <v>2</v>
      </c>
      <c r="J259" s="24" t="n">
        <v>550</v>
      </c>
      <c r="K259" s="24" t="n">
        <v>850</v>
      </c>
      <c r="L259" s="25">
        <f>I259*K259</f>
        <v/>
      </c>
      <c r="M259" s="25">
        <f>I259*J259</f>
        <v/>
      </c>
      <c r="N259" s="25">
        <f>L259-M259</f>
        <v/>
      </c>
      <c r="O259" s="26">
        <f>IFERROR(N259/L259,0)</f>
        <v/>
      </c>
      <c r="P259">
        <f>YEAR(A259)</f>
        <v/>
      </c>
      <c r="Q259">
        <f>TEXT(A259,"mmm")</f>
        <v/>
      </c>
      <c r="R259">
        <f>IF(B259&lt;25,"18-24",IF(B259&lt;35,"25-34",IF(B259&lt;45,"35-44","45+")))</f>
        <v/>
      </c>
    </row>
    <row r="260">
      <c r="A260" s="23" t="n">
        <v>44523</v>
      </c>
      <c r="B260" s="3" t="n">
        <v>29</v>
      </c>
      <c r="C260" s="3" t="inlineStr">
        <is>
          <t>F</t>
        </is>
      </c>
      <c r="D260" s="3" t="inlineStr">
        <is>
          <t>United States</t>
        </is>
      </c>
      <c r="E260" s="3" t="inlineStr">
        <is>
          <t>Washington</t>
        </is>
      </c>
      <c r="F260" s="3" t="inlineStr">
        <is>
          <t>Road Bikes</t>
        </is>
      </c>
      <c r="G260" s="3" t="inlineStr">
        <is>
          <t>Red</t>
        </is>
      </c>
      <c r="H260" s="3" t="inlineStr">
        <is>
          <t>Road-250 Red, 48</t>
        </is>
      </c>
      <c r="I260" s="4" t="n">
        <v>1</v>
      </c>
      <c r="J260" s="24" t="n">
        <v>580</v>
      </c>
      <c r="K260" s="24" t="n">
        <v>920</v>
      </c>
      <c r="L260" s="25">
        <f>I260*K260</f>
        <v/>
      </c>
      <c r="M260" s="25">
        <f>I260*J260</f>
        <v/>
      </c>
      <c r="N260" s="25">
        <f>L260-M260</f>
        <v/>
      </c>
      <c r="O260" s="26">
        <f>IFERROR(N260/L260,0)</f>
        <v/>
      </c>
      <c r="P260">
        <f>YEAR(A260)</f>
        <v/>
      </c>
      <c r="Q260">
        <f>TEXT(A260,"mmm")</f>
        <v/>
      </c>
      <c r="R260">
        <f>IF(B260&lt;25,"18-24",IF(B260&lt;35,"25-34",IF(B260&lt;45,"35-44","45+")))</f>
        <v/>
      </c>
    </row>
    <row r="261">
      <c r="A261" s="23" t="n">
        <v>44525</v>
      </c>
      <c r="B261" s="3" t="n">
        <v>29</v>
      </c>
      <c r="C261" s="3" t="inlineStr">
        <is>
          <t>F</t>
        </is>
      </c>
      <c r="D261" s="3" t="inlineStr">
        <is>
          <t>United States</t>
        </is>
      </c>
      <c r="E261" s="3" t="inlineStr">
        <is>
          <t>California</t>
        </is>
      </c>
      <c r="F261" s="3" t="inlineStr">
        <is>
          <t>Mountain Bikes</t>
        </is>
      </c>
      <c r="G261" s="3" t="inlineStr">
        <is>
          <t>Silver</t>
        </is>
      </c>
      <c r="H261" s="3" t="inlineStr">
        <is>
          <t>Mountain-200 Silver, 42</t>
        </is>
      </c>
      <c r="I261" s="4" t="n">
        <v>3</v>
      </c>
      <c r="J261" s="24" t="n">
        <v>550</v>
      </c>
      <c r="K261" s="24" t="n">
        <v>850</v>
      </c>
      <c r="L261" s="25">
        <f>I261*K261</f>
        <v/>
      </c>
      <c r="M261" s="25">
        <f>I261*J261</f>
        <v/>
      </c>
      <c r="N261" s="25">
        <f>L261-M261</f>
        <v/>
      </c>
      <c r="O261" s="26">
        <f>IFERROR(N261/L261,0)</f>
        <v/>
      </c>
      <c r="P261">
        <f>YEAR(A261)</f>
        <v/>
      </c>
      <c r="Q261">
        <f>TEXT(A261,"mmm")</f>
        <v/>
      </c>
      <c r="R261">
        <f>IF(B261&lt;25,"18-24",IF(B261&lt;35,"25-34",IF(B261&lt;45,"35-44","45+")))</f>
        <v/>
      </c>
    </row>
    <row r="262">
      <c r="A262" s="23" t="n">
        <v>44525</v>
      </c>
      <c r="B262" s="3" t="n">
        <v>29</v>
      </c>
      <c r="C262" s="3" t="inlineStr">
        <is>
          <t>F</t>
        </is>
      </c>
      <c r="D262" s="3" t="inlineStr">
        <is>
          <t>France</t>
        </is>
      </c>
      <c r="E262" s="3" t="inlineStr">
        <is>
          <t>Nord</t>
        </is>
      </c>
      <c r="F262" s="3" t="inlineStr">
        <is>
          <t>Road Bikes</t>
        </is>
      </c>
      <c r="G262" s="3" t="inlineStr">
        <is>
          <t>Black</t>
        </is>
      </c>
      <c r="H262" s="3" t="inlineStr">
        <is>
          <t>Road-650 Black, 58</t>
        </is>
      </c>
      <c r="I262" s="4" t="n">
        <v>1</v>
      </c>
      <c r="J262" s="24" t="n">
        <v>620</v>
      </c>
      <c r="K262" s="24" t="n">
        <v>980</v>
      </c>
      <c r="L262" s="25">
        <f>I262*K262</f>
        <v/>
      </c>
      <c r="M262" s="25">
        <f>I262*J262</f>
        <v/>
      </c>
      <c r="N262" s="25">
        <f>L262-M262</f>
        <v/>
      </c>
      <c r="O262" s="26">
        <f>IFERROR(N262/L262,0)</f>
        <v/>
      </c>
      <c r="P262">
        <f>YEAR(A262)</f>
        <v/>
      </c>
      <c r="Q262">
        <f>TEXT(A262,"mmm")</f>
        <v/>
      </c>
      <c r="R262">
        <f>IF(B262&lt;25,"18-24",IF(B262&lt;35,"25-34",IF(B262&lt;45,"35-44","45+")))</f>
        <v/>
      </c>
    </row>
    <row r="263">
      <c r="A263" s="23" t="n">
        <v>44526</v>
      </c>
      <c r="B263" s="3" t="n">
        <v>29</v>
      </c>
      <c r="C263" s="3" t="inlineStr">
        <is>
          <t>M</t>
        </is>
      </c>
      <c r="D263" s="3" t="inlineStr">
        <is>
          <t>Germany</t>
        </is>
      </c>
      <c r="E263" s="3" t="inlineStr">
        <is>
          <t>Saarland</t>
        </is>
      </c>
      <c r="F263" s="3" t="inlineStr">
        <is>
          <t>Road Bikes</t>
        </is>
      </c>
      <c r="G263" s="3" t="inlineStr">
        <is>
          <t>Red</t>
        </is>
      </c>
      <c r="H263" s="3" t="inlineStr">
        <is>
          <t>Road-150 Red, 52</t>
        </is>
      </c>
      <c r="I263" s="4" t="n">
        <v>2</v>
      </c>
      <c r="J263" s="24" t="n">
        <v>900</v>
      </c>
      <c r="K263" s="24" t="n">
        <v>1400</v>
      </c>
      <c r="L263" s="25">
        <f>I263*K263</f>
        <v/>
      </c>
      <c r="M263" s="25">
        <f>I263*J263</f>
        <v/>
      </c>
      <c r="N263" s="25">
        <f>L263-M263</f>
        <v/>
      </c>
      <c r="O263" s="26">
        <f>IFERROR(N263/L263,0)</f>
        <v/>
      </c>
      <c r="P263">
        <f>YEAR(A263)</f>
        <v/>
      </c>
      <c r="Q263">
        <f>TEXT(A263,"mmm")</f>
        <v/>
      </c>
      <c r="R263">
        <f>IF(B263&lt;25,"18-24",IF(B263&lt;35,"25-34",IF(B263&lt;45,"35-44","45+")))</f>
        <v/>
      </c>
    </row>
    <row r="264">
      <c r="A264" s="23" t="n">
        <v>44527</v>
      </c>
      <c r="B264" s="3" t="n">
        <v>29</v>
      </c>
      <c r="C264" s="3" t="inlineStr">
        <is>
          <t>M</t>
        </is>
      </c>
      <c r="D264" s="3" t="inlineStr">
        <is>
          <t>France</t>
        </is>
      </c>
      <c r="E264" s="3" t="inlineStr">
        <is>
          <t>Seine Saint Denis</t>
        </is>
      </c>
      <c r="F264" s="3" t="inlineStr">
        <is>
          <t>Road Bikes</t>
        </is>
      </c>
      <c r="G264" s="3" t="inlineStr">
        <is>
          <t>Red</t>
        </is>
      </c>
      <c r="H264" s="3" t="inlineStr">
        <is>
          <t>Road-250 Red, 58</t>
        </is>
      </c>
      <c r="I264" s="4" t="n">
        <v>2</v>
      </c>
      <c r="J264" s="24" t="n">
        <v>580</v>
      </c>
      <c r="K264" s="24" t="n">
        <v>920</v>
      </c>
      <c r="L264" s="25">
        <f>I264*K264</f>
        <v/>
      </c>
      <c r="M264" s="25">
        <f>I264*J264</f>
        <v/>
      </c>
      <c r="N264" s="25">
        <f>L264-M264</f>
        <v/>
      </c>
      <c r="O264" s="26">
        <f>IFERROR(N264/L264,0)</f>
        <v/>
      </c>
      <c r="P264">
        <f>YEAR(A264)</f>
        <v/>
      </c>
      <c r="Q264">
        <f>TEXT(A264,"mmm")</f>
        <v/>
      </c>
      <c r="R264">
        <f>IF(B264&lt;25,"18-24",IF(B264&lt;35,"25-34",IF(B264&lt;45,"35-44","45+")))</f>
        <v/>
      </c>
    </row>
    <row r="265">
      <c r="A265" s="23" t="n">
        <v>44527</v>
      </c>
      <c r="B265" s="3" t="n">
        <v>29</v>
      </c>
      <c r="C265" s="3" t="inlineStr">
        <is>
          <t>F</t>
        </is>
      </c>
      <c r="D265" s="3" t="inlineStr">
        <is>
          <t>United States</t>
        </is>
      </c>
      <c r="E265" s="3" t="inlineStr">
        <is>
          <t>Washington</t>
        </is>
      </c>
      <c r="F265" s="3" t="inlineStr">
        <is>
          <t>Road Bikes</t>
        </is>
      </c>
      <c r="G265" s="3" t="inlineStr">
        <is>
          <t>Red</t>
        </is>
      </c>
      <c r="H265" s="3" t="inlineStr">
        <is>
          <t>Road-250 Red, 48</t>
        </is>
      </c>
      <c r="I265" s="4" t="n">
        <v>1</v>
      </c>
      <c r="J265" s="24" t="n">
        <v>580</v>
      </c>
      <c r="K265" s="24" t="n">
        <v>920</v>
      </c>
      <c r="L265" s="25">
        <f>I265*K265</f>
        <v/>
      </c>
      <c r="M265" s="25">
        <f>I265*J265</f>
        <v/>
      </c>
      <c r="N265" s="25">
        <f>L265-M265</f>
        <v/>
      </c>
      <c r="O265" s="26">
        <f>IFERROR(N265/L265,0)</f>
        <v/>
      </c>
      <c r="P265">
        <f>YEAR(A265)</f>
        <v/>
      </c>
      <c r="Q265">
        <f>TEXT(A265,"mmm")</f>
        <v/>
      </c>
      <c r="R265">
        <f>IF(B265&lt;25,"18-24",IF(B265&lt;35,"25-34",IF(B265&lt;45,"35-44","45+")))</f>
        <v/>
      </c>
    </row>
    <row r="266">
      <c r="A266" s="23" t="n">
        <v>44529</v>
      </c>
      <c r="B266" s="3" t="n">
        <v>29</v>
      </c>
      <c r="C266" s="3" t="inlineStr">
        <is>
          <t>M</t>
        </is>
      </c>
      <c r="D266" s="3" t="inlineStr">
        <is>
          <t>France</t>
        </is>
      </c>
      <c r="E266" s="3" t="inlineStr">
        <is>
          <t>Seine (Paris)</t>
        </is>
      </c>
      <c r="F266" s="3" t="inlineStr">
        <is>
          <t>Road Bikes</t>
        </is>
      </c>
      <c r="G266" s="3" t="inlineStr">
        <is>
          <t>Black</t>
        </is>
      </c>
      <c r="H266" s="3" t="inlineStr">
        <is>
          <t>Road-650 Black, 60</t>
        </is>
      </c>
      <c r="I266" s="4" t="n">
        <v>1</v>
      </c>
      <c r="J266" s="24" t="n">
        <v>620</v>
      </c>
      <c r="K266" s="24" t="n">
        <v>980</v>
      </c>
      <c r="L266" s="25">
        <f>I266*K266</f>
        <v/>
      </c>
      <c r="M266" s="25">
        <f>I266*J266</f>
        <v/>
      </c>
      <c r="N266" s="25">
        <f>L266-M266</f>
        <v/>
      </c>
      <c r="O266" s="26">
        <f>IFERROR(N266/L266,0)</f>
        <v/>
      </c>
      <c r="P266">
        <f>YEAR(A266)</f>
        <v/>
      </c>
      <c r="Q266">
        <f>TEXT(A266,"mmm")</f>
        <v/>
      </c>
      <c r="R266">
        <f>IF(B266&lt;25,"18-24",IF(B266&lt;35,"25-34",IF(B266&lt;45,"35-44","45+")))</f>
        <v/>
      </c>
    </row>
    <row r="267">
      <c r="A267" s="23" t="n">
        <v>44530</v>
      </c>
      <c r="B267" s="3" t="n">
        <v>29</v>
      </c>
      <c r="C267" s="3" t="inlineStr">
        <is>
          <t>F</t>
        </is>
      </c>
      <c r="D267" s="3" t="inlineStr">
        <is>
          <t>United States</t>
        </is>
      </c>
      <c r="E267" s="3" t="inlineStr">
        <is>
          <t>California</t>
        </is>
      </c>
      <c r="F267" s="3" t="inlineStr">
        <is>
          <t>Mountain Bikes</t>
        </is>
      </c>
      <c r="G267" s="3" t="inlineStr">
        <is>
          <t>Silver</t>
        </is>
      </c>
      <c r="H267" s="3" t="inlineStr">
        <is>
          <t>Mountain-200 Silver, 42</t>
        </is>
      </c>
      <c r="I267" s="4" t="n">
        <v>4</v>
      </c>
      <c r="J267" s="24" t="n">
        <v>550</v>
      </c>
      <c r="K267" s="24" t="n">
        <v>850</v>
      </c>
      <c r="L267" s="25">
        <f>I267*K267</f>
        <v/>
      </c>
      <c r="M267" s="25">
        <f>I267*J267</f>
        <v/>
      </c>
      <c r="N267" s="25">
        <f>L267-M267</f>
        <v/>
      </c>
      <c r="O267" s="26">
        <f>IFERROR(N267/L267,0)</f>
        <v/>
      </c>
      <c r="P267">
        <f>YEAR(A267)</f>
        <v/>
      </c>
      <c r="Q267">
        <f>TEXT(A267,"mmm")</f>
        <v/>
      </c>
      <c r="R267">
        <f>IF(B267&lt;25,"18-24",IF(B267&lt;35,"25-34",IF(B267&lt;45,"35-44","45+")))</f>
        <v/>
      </c>
    </row>
    <row r="268">
      <c r="A268" s="23" t="n">
        <v>44532</v>
      </c>
      <c r="B268" s="3" t="n">
        <v>29</v>
      </c>
      <c r="C268" s="3" t="inlineStr">
        <is>
          <t>F</t>
        </is>
      </c>
      <c r="D268" s="3" t="inlineStr">
        <is>
          <t>France</t>
        </is>
      </c>
      <c r="E268" s="3" t="inlineStr">
        <is>
          <t>Seine (Paris)</t>
        </is>
      </c>
      <c r="F268" s="3" t="inlineStr">
        <is>
          <t>Road Bikes</t>
        </is>
      </c>
      <c r="G268" s="3" t="inlineStr">
        <is>
          <t>Yellow</t>
        </is>
      </c>
      <c r="H268" s="3" t="inlineStr">
        <is>
          <t>Road-550-W Yellow, 42</t>
        </is>
      </c>
      <c r="I268" s="4" t="n">
        <v>2</v>
      </c>
      <c r="J268" s="24" t="n">
        <v>500</v>
      </c>
      <c r="K268" s="24" t="n">
        <v>800</v>
      </c>
      <c r="L268" s="25">
        <f>I268*K268</f>
        <v/>
      </c>
      <c r="M268" s="25">
        <f>I268*J268</f>
        <v/>
      </c>
      <c r="N268" s="25">
        <f>L268-M268</f>
        <v/>
      </c>
      <c r="O268" s="26">
        <f>IFERROR(N268/L268,0)</f>
        <v/>
      </c>
      <c r="P268">
        <f>YEAR(A268)</f>
        <v/>
      </c>
      <c r="Q268">
        <f>TEXT(A268,"mmm")</f>
        <v/>
      </c>
      <c r="R268">
        <f>IF(B268&lt;25,"18-24",IF(B268&lt;35,"25-34",IF(B268&lt;45,"35-44","45+")))</f>
        <v/>
      </c>
    </row>
    <row r="269">
      <c r="A269" s="23" t="n">
        <v>44535</v>
      </c>
      <c r="B269" s="3" t="n">
        <v>29</v>
      </c>
      <c r="C269" s="3" t="inlineStr">
        <is>
          <t>M</t>
        </is>
      </c>
      <c r="D269" s="3" t="inlineStr">
        <is>
          <t>Australia</t>
        </is>
      </c>
      <c r="E269" s="3" t="inlineStr">
        <is>
          <t>New South Wales</t>
        </is>
      </c>
      <c r="F269" s="3" t="inlineStr">
        <is>
          <t>Road Bikes</t>
        </is>
      </c>
      <c r="G269" s="3" t="inlineStr">
        <is>
          <t>Black</t>
        </is>
      </c>
      <c r="H269" s="3" t="inlineStr">
        <is>
          <t>Road-750 Black, 44</t>
        </is>
      </c>
      <c r="I269" s="4" t="n">
        <v>2</v>
      </c>
      <c r="J269" s="24" t="n">
        <v>700</v>
      </c>
      <c r="K269" s="24" t="n">
        <v>1100</v>
      </c>
      <c r="L269" s="25">
        <f>I269*K269</f>
        <v/>
      </c>
      <c r="M269" s="25">
        <f>I269*J269</f>
        <v/>
      </c>
      <c r="N269" s="25">
        <f>L269-M269</f>
        <v/>
      </c>
      <c r="O269" s="26">
        <f>IFERROR(N269/L269,0)</f>
        <v/>
      </c>
      <c r="P269">
        <f>YEAR(A269)</f>
        <v/>
      </c>
      <c r="Q269">
        <f>TEXT(A269,"mmm")</f>
        <v/>
      </c>
      <c r="R269">
        <f>IF(B269&lt;25,"18-24",IF(B269&lt;35,"25-34",IF(B269&lt;45,"35-44","45+")))</f>
        <v/>
      </c>
    </row>
    <row r="270">
      <c r="A270" s="23" t="n">
        <v>44535</v>
      </c>
      <c r="B270" s="3" t="n">
        <v>29</v>
      </c>
      <c r="C270" s="3" t="inlineStr">
        <is>
          <t>M</t>
        </is>
      </c>
      <c r="D270" s="3" t="inlineStr">
        <is>
          <t>France</t>
        </is>
      </c>
      <c r="E270" s="3" t="inlineStr">
        <is>
          <t>Hauts de Seine</t>
        </is>
      </c>
      <c r="F270" s="3" t="inlineStr">
        <is>
          <t>Road Bikes</t>
        </is>
      </c>
      <c r="G270" s="3" t="inlineStr">
        <is>
          <t>Red</t>
        </is>
      </c>
      <c r="H270" s="3" t="inlineStr">
        <is>
          <t>Road-150 Red, 62</t>
        </is>
      </c>
      <c r="I270" s="4" t="n">
        <v>1</v>
      </c>
      <c r="J270" s="24" t="n">
        <v>900</v>
      </c>
      <c r="K270" s="24" t="n">
        <v>1400</v>
      </c>
      <c r="L270" s="25">
        <f>I270*K270</f>
        <v/>
      </c>
      <c r="M270" s="25">
        <f>I270*J270</f>
        <v/>
      </c>
      <c r="N270" s="25">
        <f>L270-M270</f>
        <v/>
      </c>
      <c r="O270" s="26">
        <f>IFERROR(N270/L270,0)</f>
        <v/>
      </c>
      <c r="P270">
        <f>YEAR(A270)</f>
        <v/>
      </c>
      <c r="Q270">
        <f>TEXT(A270,"mmm")</f>
        <v/>
      </c>
      <c r="R270">
        <f>IF(B270&lt;25,"18-24",IF(B270&lt;35,"25-34",IF(B270&lt;45,"35-44","45+")))</f>
        <v/>
      </c>
    </row>
    <row r="271">
      <c r="A271" s="23" t="n">
        <v>44537</v>
      </c>
      <c r="B271" s="3" t="n">
        <v>29</v>
      </c>
      <c r="C271" s="3" t="inlineStr">
        <is>
          <t>M</t>
        </is>
      </c>
      <c r="D271" s="3" t="inlineStr">
        <is>
          <t>Australia</t>
        </is>
      </c>
      <c r="E271" s="3" t="inlineStr">
        <is>
          <t>Queensland</t>
        </is>
      </c>
      <c r="F271" s="3" t="inlineStr">
        <is>
          <t>Road Bikes</t>
        </is>
      </c>
      <c r="G271" s="3" t="inlineStr">
        <is>
          <t>Black</t>
        </is>
      </c>
      <c r="H271" s="3" t="inlineStr">
        <is>
          <t>Road-250 Black, 52</t>
        </is>
      </c>
      <c r="I271" s="4" t="n">
        <v>1</v>
      </c>
      <c r="J271" s="24" t="n">
        <v>580</v>
      </c>
      <c r="K271" s="24" t="n">
        <v>920</v>
      </c>
      <c r="L271" s="25">
        <f>I271*K271</f>
        <v/>
      </c>
      <c r="M271" s="25">
        <f>I271*J271</f>
        <v/>
      </c>
      <c r="N271" s="25">
        <f>L271-M271</f>
        <v/>
      </c>
      <c r="O271" s="26">
        <f>IFERROR(N271/L271,0)</f>
        <v/>
      </c>
      <c r="P271">
        <f>YEAR(A271)</f>
        <v/>
      </c>
      <c r="Q271">
        <f>TEXT(A271,"mmm")</f>
        <v/>
      </c>
      <c r="R271">
        <f>IF(B271&lt;25,"18-24",IF(B271&lt;35,"25-34",IF(B271&lt;45,"35-44","45+")))</f>
        <v/>
      </c>
    </row>
    <row r="272">
      <c r="A272" s="23" t="n">
        <v>44541</v>
      </c>
      <c r="B272" s="3" t="n">
        <v>29</v>
      </c>
      <c r="C272" s="3" t="inlineStr">
        <is>
          <t>F</t>
        </is>
      </c>
      <c r="D272" s="3" t="inlineStr">
        <is>
          <t>United Kingdom</t>
        </is>
      </c>
      <c r="E272" s="3" t="inlineStr">
        <is>
          <t>England</t>
        </is>
      </c>
      <c r="F272" s="3" t="inlineStr">
        <is>
          <t>Road Bikes</t>
        </is>
      </c>
      <c r="G272" s="3" t="inlineStr">
        <is>
          <t>Yellow</t>
        </is>
      </c>
      <c r="H272" s="3" t="inlineStr">
        <is>
          <t>Road-550-W Yellow, 38</t>
        </is>
      </c>
      <c r="I272" s="4" t="n">
        <v>1</v>
      </c>
      <c r="J272" s="24" t="n">
        <v>500</v>
      </c>
      <c r="K272" s="24" t="n">
        <v>800</v>
      </c>
      <c r="L272" s="25">
        <f>I272*K272</f>
        <v/>
      </c>
      <c r="M272" s="25">
        <f>I272*J272</f>
        <v/>
      </c>
      <c r="N272" s="25">
        <f>L272-M272</f>
        <v/>
      </c>
      <c r="O272" s="26">
        <f>IFERROR(N272/L272,0)</f>
        <v/>
      </c>
      <c r="P272">
        <f>YEAR(A272)</f>
        <v/>
      </c>
      <c r="Q272">
        <f>TEXT(A272,"mmm")</f>
        <v/>
      </c>
      <c r="R272">
        <f>IF(B272&lt;25,"18-24",IF(B272&lt;35,"25-34",IF(B272&lt;45,"35-44","45+")))</f>
        <v/>
      </c>
    </row>
    <row r="273">
      <c r="A273" s="23" t="n">
        <v>44543</v>
      </c>
      <c r="B273" s="3" t="n">
        <v>29</v>
      </c>
      <c r="C273" s="3" t="inlineStr">
        <is>
          <t>F</t>
        </is>
      </c>
      <c r="D273" s="3" t="inlineStr">
        <is>
          <t>Australia</t>
        </is>
      </c>
      <c r="E273" s="3" t="inlineStr">
        <is>
          <t>Queensland</t>
        </is>
      </c>
      <c r="F273" s="3" t="inlineStr">
        <is>
          <t>Road Bikes</t>
        </is>
      </c>
      <c r="G273" s="3" t="inlineStr">
        <is>
          <t>Black</t>
        </is>
      </c>
      <c r="H273" s="3" t="inlineStr">
        <is>
          <t>Road-250 Black, 44</t>
        </is>
      </c>
      <c r="I273" s="4" t="n">
        <v>2</v>
      </c>
      <c r="J273" s="24" t="n">
        <v>580</v>
      </c>
      <c r="K273" s="24" t="n">
        <v>920</v>
      </c>
      <c r="L273" s="25">
        <f>I273*K273</f>
        <v/>
      </c>
      <c r="M273" s="25">
        <f>I273*J273</f>
        <v/>
      </c>
      <c r="N273" s="25">
        <f>L273-M273</f>
        <v/>
      </c>
      <c r="O273" s="26">
        <f>IFERROR(N273/L273,0)</f>
        <v/>
      </c>
      <c r="P273">
        <f>YEAR(A273)</f>
        <v/>
      </c>
      <c r="Q273">
        <f>TEXT(A273,"mmm")</f>
        <v/>
      </c>
      <c r="R273">
        <f>IF(B273&lt;25,"18-24",IF(B273&lt;35,"25-34",IF(B273&lt;45,"35-44","45+")))</f>
        <v/>
      </c>
    </row>
    <row r="274">
      <c r="A274" s="23" t="n">
        <v>44545</v>
      </c>
      <c r="B274" s="3" t="n">
        <v>29</v>
      </c>
      <c r="C274" s="3" t="inlineStr">
        <is>
          <t>F</t>
        </is>
      </c>
      <c r="D274" s="3" t="inlineStr">
        <is>
          <t>United States</t>
        </is>
      </c>
      <c r="E274" s="3" t="inlineStr">
        <is>
          <t>California</t>
        </is>
      </c>
      <c r="F274" s="3" t="inlineStr">
        <is>
          <t>Mountain Bikes</t>
        </is>
      </c>
      <c r="G274" s="3" t="inlineStr">
        <is>
          <t>Silver</t>
        </is>
      </c>
      <c r="H274" s="3" t="inlineStr">
        <is>
          <t>Mountain-200 Silver, 42</t>
        </is>
      </c>
      <c r="I274" s="4" t="n">
        <v>1</v>
      </c>
      <c r="J274" s="24" t="n">
        <v>550</v>
      </c>
      <c r="K274" s="24" t="n">
        <v>850</v>
      </c>
      <c r="L274" s="25">
        <f>I274*K274</f>
        <v/>
      </c>
      <c r="M274" s="25">
        <f>I274*J274</f>
        <v/>
      </c>
      <c r="N274" s="25">
        <f>L274-M274</f>
        <v/>
      </c>
      <c r="O274" s="26">
        <f>IFERROR(N274/L274,0)</f>
        <v/>
      </c>
      <c r="P274">
        <f>YEAR(A274)</f>
        <v/>
      </c>
      <c r="Q274">
        <f>TEXT(A274,"mmm")</f>
        <v/>
      </c>
      <c r="R274">
        <f>IF(B274&lt;25,"18-24",IF(B274&lt;35,"25-34",IF(B274&lt;45,"35-44","45+")))</f>
        <v/>
      </c>
    </row>
    <row r="275">
      <c r="A275" s="23" t="n">
        <v>44546</v>
      </c>
      <c r="B275" s="3" t="n">
        <v>29</v>
      </c>
      <c r="C275" s="3" t="inlineStr">
        <is>
          <t>M</t>
        </is>
      </c>
      <c r="D275" s="3" t="inlineStr">
        <is>
          <t>United States</t>
        </is>
      </c>
      <c r="E275" s="3" t="inlineStr">
        <is>
          <t>Oregon</t>
        </is>
      </c>
      <c r="F275" s="3" t="inlineStr">
        <is>
          <t>Road Bikes</t>
        </is>
      </c>
      <c r="G275" s="3" t="inlineStr">
        <is>
          <t>Black</t>
        </is>
      </c>
      <c r="H275" s="3" t="inlineStr">
        <is>
          <t>Road-650 Black, 44</t>
        </is>
      </c>
      <c r="I275" s="4" t="n">
        <v>2</v>
      </c>
      <c r="J275" s="24" t="n">
        <v>620</v>
      </c>
      <c r="K275" s="24" t="n">
        <v>980</v>
      </c>
      <c r="L275" s="25">
        <f>I275*K275</f>
        <v/>
      </c>
      <c r="M275" s="25">
        <f>I275*J275</f>
        <v/>
      </c>
      <c r="N275" s="25">
        <f>L275-M275</f>
        <v/>
      </c>
      <c r="O275" s="26">
        <f>IFERROR(N275/L275,0)</f>
        <v/>
      </c>
      <c r="P275">
        <f>YEAR(A275)</f>
        <v/>
      </c>
      <c r="Q275">
        <f>TEXT(A275,"mmm")</f>
        <v/>
      </c>
      <c r="R275">
        <f>IF(B275&lt;25,"18-24",IF(B275&lt;35,"25-34",IF(B275&lt;45,"35-44","45+")))</f>
        <v/>
      </c>
    </row>
    <row r="276">
      <c r="A276" s="23" t="n">
        <v>44550</v>
      </c>
      <c r="B276" s="3" t="n">
        <v>29</v>
      </c>
      <c r="C276" s="3" t="inlineStr">
        <is>
          <t>M</t>
        </is>
      </c>
      <c r="D276" s="3" t="inlineStr">
        <is>
          <t>Canada</t>
        </is>
      </c>
      <c r="E276" s="3" t="inlineStr">
        <is>
          <t>British Columbia</t>
        </is>
      </c>
      <c r="F276" s="3" t="inlineStr">
        <is>
          <t>Mountain Bikes</t>
        </is>
      </c>
      <c r="G276" s="3" t="inlineStr">
        <is>
          <t>Black</t>
        </is>
      </c>
      <c r="H276" s="3" t="inlineStr">
        <is>
          <t>Mountain-500 Black, 52</t>
        </is>
      </c>
      <c r="I276" s="4" t="n">
        <v>3</v>
      </c>
      <c r="J276" s="24" t="n">
        <v>480</v>
      </c>
      <c r="K276" s="24" t="n">
        <v>760</v>
      </c>
      <c r="L276" s="25">
        <f>I276*K276</f>
        <v/>
      </c>
      <c r="M276" s="25">
        <f>I276*J276</f>
        <v/>
      </c>
      <c r="N276" s="25">
        <f>L276-M276</f>
        <v/>
      </c>
      <c r="O276" s="26">
        <f>IFERROR(N276/L276,0)</f>
        <v/>
      </c>
      <c r="P276">
        <f>YEAR(A276)</f>
        <v/>
      </c>
      <c r="Q276">
        <f>TEXT(A276,"mmm")</f>
        <v/>
      </c>
      <c r="R276">
        <f>IF(B276&lt;25,"18-24",IF(B276&lt;35,"25-34",IF(B276&lt;45,"35-44","45+")))</f>
        <v/>
      </c>
    </row>
    <row r="277">
      <c r="A277" s="23" t="n">
        <v>44552</v>
      </c>
      <c r="B277" s="3" t="n">
        <v>29</v>
      </c>
      <c r="C277" s="3" t="inlineStr">
        <is>
          <t>F</t>
        </is>
      </c>
      <c r="D277" s="3" t="inlineStr">
        <is>
          <t>United Kingdom</t>
        </is>
      </c>
      <c r="E277" s="3" t="inlineStr">
        <is>
          <t>England</t>
        </is>
      </c>
      <c r="F277" s="3" t="inlineStr">
        <is>
          <t>Road Bikes</t>
        </is>
      </c>
      <c r="G277" s="3" t="inlineStr">
        <is>
          <t>Yellow</t>
        </is>
      </c>
      <c r="H277" s="3" t="inlineStr">
        <is>
          <t>Road-550-W Yellow, 38</t>
        </is>
      </c>
      <c r="I277" s="4" t="n">
        <v>1</v>
      </c>
      <c r="J277" s="24" t="n">
        <v>500</v>
      </c>
      <c r="K277" s="24" t="n">
        <v>800</v>
      </c>
      <c r="L277" s="25">
        <f>I277*K277</f>
        <v/>
      </c>
      <c r="M277" s="25">
        <f>I277*J277</f>
        <v/>
      </c>
      <c r="N277" s="25">
        <f>L277-M277</f>
        <v/>
      </c>
      <c r="O277" s="26">
        <f>IFERROR(N277/L277,0)</f>
        <v/>
      </c>
      <c r="P277">
        <f>YEAR(A277)</f>
        <v/>
      </c>
      <c r="Q277">
        <f>TEXT(A277,"mmm")</f>
        <v/>
      </c>
      <c r="R277">
        <f>IF(B277&lt;25,"18-24",IF(B277&lt;35,"25-34",IF(B277&lt;45,"35-44","45+")))</f>
        <v/>
      </c>
    </row>
    <row r="278">
      <c r="A278" s="23" t="n">
        <v>44553</v>
      </c>
      <c r="B278" s="3" t="n">
        <v>29</v>
      </c>
      <c r="C278" s="3" t="inlineStr">
        <is>
          <t>M</t>
        </is>
      </c>
      <c r="D278" s="3" t="inlineStr">
        <is>
          <t>United Kingdom</t>
        </is>
      </c>
      <c r="E278" s="3" t="inlineStr">
        <is>
          <t>England</t>
        </is>
      </c>
      <c r="F278" s="3" t="inlineStr">
        <is>
          <t>Road Bikes</t>
        </is>
      </c>
      <c r="G278" s="3" t="inlineStr">
        <is>
          <t>Yellow</t>
        </is>
      </c>
      <c r="H278" s="3" t="inlineStr">
        <is>
          <t>Road-350-W Yellow, 48</t>
        </is>
      </c>
      <c r="I278" s="4" t="n">
        <v>4</v>
      </c>
      <c r="J278" s="24" t="n">
        <v>530</v>
      </c>
      <c r="K278" s="24" t="n">
        <v>840</v>
      </c>
      <c r="L278" s="25">
        <f>I278*K278</f>
        <v/>
      </c>
      <c r="M278" s="25">
        <f>I278*J278</f>
        <v/>
      </c>
      <c r="N278" s="25">
        <f>L278-M278</f>
        <v/>
      </c>
      <c r="O278" s="26">
        <f>IFERROR(N278/L278,0)</f>
        <v/>
      </c>
      <c r="P278">
        <f>YEAR(A278)</f>
        <v/>
      </c>
      <c r="Q278">
        <f>TEXT(A278,"mmm")</f>
        <v/>
      </c>
      <c r="R278">
        <f>IF(B278&lt;25,"18-24",IF(B278&lt;35,"25-34",IF(B278&lt;45,"35-44","45+")))</f>
        <v/>
      </c>
    </row>
    <row r="279">
      <c r="A279" s="23" t="n">
        <v>44554</v>
      </c>
      <c r="B279" s="3" t="n">
        <v>29</v>
      </c>
      <c r="C279" s="3" t="inlineStr">
        <is>
          <t>M</t>
        </is>
      </c>
      <c r="D279" s="3" t="inlineStr">
        <is>
          <t>United Kingdom</t>
        </is>
      </c>
      <c r="E279" s="3" t="inlineStr">
        <is>
          <t>England</t>
        </is>
      </c>
      <c r="F279" s="3" t="inlineStr">
        <is>
          <t>Road Bikes</t>
        </is>
      </c>
      <c r="G279" s="3" t="inlineStr">
        <is>
          <t>Yellow</t>
        </is>
      </c>
      <c r="H279" s="3" t="inlineStr">
        <is>
          <t>Road-350-W Yellow, 48</t>
        </is>
      </c>
      <c r="I279" s="4" t="n">
        <v>1</v>
      </c>
      <c r="J279" s="24" t="n">
        <v>530</v>
      </c>
      <c r="K279" s="24" t="n">
        <v>840</v>
      </c>
      <c r="L279" s="25">
        <f>I279*K279</f>
        <v/>
      </c>
      <c r="M279" s="25">
        <f>I279*J279</f>
        <v/>
      </c>
      <c r="N279" s="25">
        <f>L279-M279</f>
        <v/>
      </c>
      <c r="O279" s="26">
        <f>IFERROR(N279/L279,0)</f>
        <v/>
      </c>
      <c r="P279">
        <f>YEAR(A279)</f>
        <v/>
      </c>
      <c r="Q279">
        <f>TEXT(A279,"mmm")</f>
        <v/>
      </c>
      <c r="R279">
        <f>IF(B279&lt;25,"18-24",IF(B279&lt;35,"25-34",IF(B279&lt;45,"35-44","45+")))</f>
        <v/>
      </c>
    </row>
    <row r="280">
      <c r="A280" s="23" t="n">
        <v>44560</v>
      </c>
      <c r="B280" s="3" t="n">
        <v>29</v>
      </c>
      <c r="C280" s="3" t="inlineStr">
        <is>
          <t>F</t>
        </is>
      </c>
      <c r="D280" s="3" t="inlineStr">
        <is>
          <t>Australia</t>
        </is>
      </c>
      <c r="E280" s="3" t="inlineStr">
        <is>
          <t>Queensland</t>
        </is>
      </c>
      <c r="F280" s="3" t="inlineStr">
        <is>
          <t>Road Bikes</t>
        </is>
      </c>
      <c r="G280" s="3" t="inlineStr">
        <is>
          <t>Black</t>
        </is>
      </c>
      <c r="H280" s="3" t="inlineStr">
        <is>
          <t>Road-250 Black, 44</t>
        </is>
      </c>
      <c r="I280" s="4" t="n">
        <v>1</v>
      </c>
      <c r="J280" s="24" t="n">
        <v>580</v>
      </c>
      <c r="K280" s="24" t="n">
        <v>920</v>
      </c>
      <c r="L280" s="25">
        <f>I280*K280</f>
        <v/>
      </c>
      <c r="M280" s="25">
        <f>I280*J280</f>
        <v/>
      </c>
      <c r="N280" s="25">
        <f>L280-M280</f>
        <v/>
      </c>
      <c r="O280" s="26">
        <f>IFERROR(N280/L280,0)</f>
        <v/>
      </c>
      <c r="P280">
        <f>YEAR(A280)</f>
        <v/>
      </c>
      <c r="Q280">
        <f>TEXT(A280,"mmm")</f>
        <v/>
      </c>
      <c r="R280">
        <f>IF(B280&lt;25,"18-24",IF(B280&lt;35,"25-34",IF(B280&lt;45,"35-44","45+")))</f>
        <v/>
      </c>
    </row>
    <row r="281">
      <c r="A281" s="23" t="n">
        <v>44472</v>
      </c>
      <c r="B281" s="3" t="n">
        <v>30</v>
      </c>
      <c r="C281" s="3" t="inlineStr">
        <is>
          <t>F</t>
        </is>
      </c>
      <c r="D281" s="3" t="inlineStr">
        <is>
          <t>Germany</t>
        </is>
      </c>
      <c r="E281" s="3" t="inlineStr">
        <is>
          <t>Hamburg</t>
        </is>
      </c>
      <c r="F281" s="3" t="inlineStr">
        <is>
          <t>Road Bikes</t>
        </is>
      </c>
      <c r="G281" s="3" t="inlineStr">
        <is>
          <t>Black</t>
        </is>
      </c>
      <c r="H281" s="3" t="inlineStr">
        <is>
          <t>Road-250 Black, 44</t>
        </is>
      </c>
      <c r="I281" s="4" t="n">
        <v>1</v>
      </c>
      <c r="J281" s="24" t="n">
        <v>580</v>
      </c>
      <c r="K281" s="24" t="n">
        <v>920</v>
      </c>
      <c r="L281" s="25">
        <f>I281*K281</f>
        <v/>
      </c>
      <c r="M281" s="25">
        <f>I281*J281</f>
        <v/>
      </c>
      <c r="N281" s="25">
        <f>L281-M281</f>
        <v/>
      </c>
      <c r="O281" s="26">
        <f>IFERROR(N281/L281,0)</f>
        <v/>
      </c>
      <c r="P281">
        <f>YEAR(A281)</f>
        <v/>
      </c>
      <c r="Q281">
        <f>TEXT(A281,"mmm")</f>
        <v/>
      </c>
      <c r="R281">
        <f>IF(B281&lt;25,"18-24",IF(B281&lt;35,"25-34",IF(B281&lt;45,"35-44","45+")))</f>
        <v/>
      </c>
    </row>
    <row r="282">
      <c r="A282" s="23" t="n">
        <v>44474</v>
      </c>
      <c r="B282" s="3" t="n">
        <v>30</v>
      </c>
      <c r="C282" s="3" t="inlineStr">
        <is>
          <t>M</t>
        </is>
      </c>
      <c r="D282" s="3" t="inlineStr">
        <is>
          <t>United States</t>
        </is>
      </c>
      <c r="E282" s="3" t="inlineStr">
        <is>
          <t>Washington</t>
        </is>
      </c>
      <c r="F282" s="3" t="inlineStr">
        <is>
          <t>Mountain Bikes</t>
        </is>
      </c>
      <c r="G282" s="3" t="inlineStr">
        <is>
          <t>Silver</t>
        </is>
      </c>
      <c r="H282" s="3" t="inlineStr">
        <is>
          <t>Mountain-200 Silver, 38</t>
        </is>
      </c>
      <c r="I282" s="4" t="n">
        <v>4</v>
      </c>
      <c r="J282" s="24" t="n">
        <v>550</v>
      </c>
      <c r="K282" s="24" t="n">
        <v>850</v>
      </c>
      <c r="L282" s="25">
        <f>I282*K282</f>
        <v/>
      </c>
      <c r="M282" s="25">
        <f>I282*J282</f>
        <v/>
      </c>
      <c r="N282" s="25">
        <f>L282-M282</f>
        <v/>
      </c>
      <c r="O282" s="26">
        <f>IFERROR(N282/L282,0)</f>
        <v/>
      </c>
      <c r="P282">
        <f>YEAR(A282)</f>
        <v/>
      </c>
      <c r="Q282">
        <f>TEXT(A282,"mmm")</f>
        <v/>
      </c>
      <c r="R282">
        <f>IF(B282&lt;25,"18-24",IF(B282&lt;35,"25-34",IF(B282&lt;45,"35-44","45+")))</f>
        <v/>
      </c>
    </row>
    <row r="283">
      <c r="A283" s="23" t="n">
        <v>44475</v>
      </c>
      <c r="B283" s="3" t="n">
        <v>30</v>
      </c>
      <c r="C283" s="3" t="inlineStr">
        <is>
          <t>F</t>
        </is>
      </c>
      <c r="D283" s="3" t="inlineStr">
        <is>
          <t>United States</t>
        </is>
      </c>
      <c r="E283" s="3" t="inlineStr">
        <is>
          <t>California</t>
        </is>
      </c>
      <c r="F283" s="3" t="inlineStr">
        <is>
          <t>Mountain Bikes</t>
        </is>
      </c>
      <c r="G283" s="3" t="inlineStr">
        <is>
          <t>Black</t>
        </is>
      </c>
      <c r="H283" s="3" t="inlineStr">
        <is>
          <t>Mountain-500 Black, 48</t>
        </is>
      </c>
      <c r="I283" s="4" t="n">
        <v>4</v>
      </c>
      <c r="J283" s="24" t="n">
        <v>480</v>
      </c>
      <c r="K283" s="24" t="n">
        <v>760</v>
      </c>
      <c r="L283" s="25">
        <f>I283*K283</f>
        <v/>
      </c>
      <c r="M283" s="25">
        <f>I283*J283</f>
        <v/>
      </c>
      <c r="N283" s="25">
        <f>L283-M283</f>
        <v/>
      </c>
      <c r="O283" s="26">
        <f>IFERROR(N283/L283,0)</f>
        <v/>
      </c>
      <c r="P283">
        <f>YEAR(A283)</f>
        <v/>
      </c>
      <c r="Q283">
        <f>TEXT(A283,"mmm")</f>
        <v/>
      </c>
      <c r="R283">
        <f>IF(B283&lt;25,"18-24",IF(B283&lt;35,"25-34",IF(B283&lt;45,"35-44","45+")))</f>
        <v/>
      </c>
    </row>
    <row r="284">
      <c r="A284" s="23" t="n">
        <v>44482</v>
      </c>
      <c r="B284" s="3" t="n">
        <v>30</v>
      </c>
      <c r="C284" s="3" t="inlineStr">
        <is>
          <t>M</t>
        </is>
      </c>
      <c r="D284" s="3" t="inlineStr">
        <is>
          <t>Germany</t>
        </is>
      </c>
      <c r="E284" s="3" t="inlineStr">
        <is>
          <t>Saarland</t>
        </is>
      </c>
      <c r="F284" s="3" t="inlineStr">
        <is>
          <t>Road Bikes</t>
        </is>
      </c>
      <c r="G284" s="3" t="inlineStr">
        <is>
          <t>Red</t>
        </is>
      </c>
      <c r="H284" s="3" t="inlineStr">
        <is>
          <t>Road-650 Red, 52</t>
        </is>
      </c>
      <c r="I284" s="4" t="n">
        <v>1</v>
      </c>
      <c r="J284" s="24" t="n">
        <v>620</v>
      </c>
      <c r="K284" s="24" t="n">
        <v>980</v>
      </c>
      <c r="L284" s="25">
        <f>I284*K284</f>
        <v/>
      </c>
      <c r="M284" s="25">
        <f>I284*J284</f>
        <v/>
      </c>
      <c r="N284" s="25">
        <f>L284-M284</f>
        <v/>
      </c>
      <c r="O284" s="26">
        <f>IFERROR(N284/L284,0)</f>
        <v/>
      </c>
      <c r="P284">
        <f>YEAR(A284)</f>
        <v/>
      </c>
      <c r="Q284">
        <f>TEXT(A284,"mmm")</f>
        <v/>
      </c>
      <c r="R284">
        <f>IF(B284&lt;25,"18-24",IF(B284&lt;35,"25-34",IF(B284&lt;45,"35-44","45+")))</f>
        <v/>
      </c>
    </row>
    <row r="285">
      <c r="A285" s="23" t="n">
        <v>44486</v>
      </c>
      <c r="B285" s="3" t="n">
        <v>30</v>
      </c>
      <c r="C285" s="3" t="inlineStr">
        <is>
          <t>M</t>
        </is>
      </c>
      <c r="D285" s="3" t="inlineStr">
        <is>
          <t>France</t>
        </is>
      </c>
      <c r="E285" s="3" t="inlineStr">
        <is>
          <t>Seine Saint Denis</t>
        </is>
      </c>
      <c r="F285" s="3" t="inlineStr">
        <is>
          <t>Road Bikes</t>
        </is>
      </c>
      <c r="G285" s="3" t="inlineStr">
        <is>
          <t>Black</t>
        </is>
      </c>
      <c r="H285" s="3" t="inlineStr">
        <is>
          <t>Road-250 Black, 48</t>
        </is>
      </c>
      <c r="I285" s="4" t="n">
        <v>4</v>
      </c>
      <c r="J285" s="24" t="n">
        <v>580</v>
      </c>
      <c r="K285" s="24" t="n">
        <v>920</v>
      </c>
      <c r="L285" s="25">
        <f>I285*K285</f>
        <v/>
      </c>
      <c r="M285" s="25">
        <f>I285*J285</f>
        <v/>
      </c>
      <c r="N285" s="25">
        <f>L285-M285</f>
        <v/>
      </c>
      <c r="O285" s="26">
        <f>IFERROR(N285/L285,0)</f>
        <v/>
      </c>
      <c r="P285">
        <f>YEAR(A285)</f>
        <v/>
      </c>
      <c r="Q285">
        <f>TEXT(A285,"mmm")</f>
        <v/>
      </c>
      <c r="R285">
        <f>IF(B285&lt;25,"18-24",IF(B285&lt;35,"25-34",IF(B285&lt;45,"35-44","45+")))</f>
        <v/>
      </c>
    </row>
    <row r="286">
      <c r="A286" s="23" t="n">
        <v>44487</v>
      </c>
      <c r="B286" s="3" t="n">
        <v>30</v>
      </c>
      <c r="C286" s="3" t="inlineStr">
        <is>
          <t>F</t>
        </is>
      </c>
      <c r="D286" s="3" t="inlineStr">
        <is>
          <t>United States</t>
        </is>
      </c>
      <c r="E286" s="3" t="inlineStr">
        <is>
          <t>Washington</t>
        </is>
      </c>
      <c r="F286" s="3" t="inlineStr">
        <is>
          <t>Mountain Bikes</t>
        </is>
      </c>
      <c r="G286" s="3" t="inlineStr">
        <is>
          <t>Silver</t>
        </is>
      </c>
      <c r="H286" s="3" t="inlineStr">
        <is>
          <t>Mountain-200 Silver, 38</t>
        </is>
      </c>
      <c r="I286" s="4" t="n">
        <v>1</v>
      </c>
      <c r="J286" s="24" t="n">
        <v>550</v>
      </c>
      <c r="K286" s="24" t="n">
        <v>850</v>
      </c>
      <c r="L286" s="25">
        <f>I286*K286</f>
        <v/>
      </c>
      <c r="M286" s="25">
        <f>I286*J286</f>
        <v/>
      </c>
      <c r="N286" s="25">
        <f>L286-M286</f>
        <v/>
      </c>
      <c r="O286" s="26">
        <f>IFERROR(N286/L286,0)</f>
        <v/>
      </c>
      <c r="P286">
        <f>YEAR(A286)</f>
        <v/>
      </c>
      <c r="Q286">
        <f>TEXT(A286,"mmm")</f>
        <v/>
      </c>
      <c r="R286">
        <f>IF(B286&lt;25,"18-24",IF(B286&lt;35,"25-34",IF(B286&lt;45,"35-44","45+")))</f>
        <v/>
      </c>
    </row>
    <row r="287">
      <c r="A287" s="23" t="n">
        <v>44489</v>
      </c>
      <c r="B287" s="3" t="n">
        <v>30</v>
      </c>
      <c r="C287" s="3" t="inlineStr">
        <is>
          <t>M</t>
        </is>
      </c>
      <c r="D287" s="3" t="inlineStr">
        <is>
          <t>France</t>
        </is>
      </c>
      <c r="E287" s="3" t="inlineStr">
        <is>
          <t>Essonne</t>
        </is>
      </c>
      <c r="F287" s="3" t="inlineStr">
        <is>
          <t>Road Bikes</t>
        </is>
      </c>
      <c r="G287" s="3" t="inlineStr">
        <is>
          <t>Red</t>
        </is>
      </c>
      <c r="H287" s="3" t="inlineStr">
        <is>
          <t>Road-150 Red, 48</t>
        </is>
      </c>
      <c r="I287" s="4" t="n">
        <v>3</v>
      </c>
      <c r="J287" s="24" t="n">
        <v>900</v>
      </c>
      <c r="K287" s="24" t="n">
        <v>1400</v>
      </c>
      <c r="L287" s="25">
        <f>I287*K287</f>
        <v/>
      </c>
      <c r="M287" s="25">
        <f>I287*J287</f>
        <v/>
      </c>
      <c r="N287" s="25">
        <f>L287-M287</f>
        <v/>
      </c>
      <c r="O287" s="26">
        <f>IFERROR(N287/L287,0)</f>
        <v/>
      </c>
      <c r="P287">
        <f>YEAR(A287)</f>
        <v/>
      </c>
      <c r="Q287">
        <f>TEXT(A287,"mmm")</f>
        <v/>
      </c>
      <c r="R287">
        <f>IF(B287&lt;25,"18-24",IF(B287&lt;35,"25-34",IF(B287&lt;45,"35-44","45+")))</f>
        <v/>
      </c>
    </row>
    <row r="288">
      <c r="A288" s="23" t="n">
        <v>44491</v>
      </c>
      <c r="B288" s="3" t="n">
        <v>30</v>
      </c>
      <c r="C288" s="3" t="inlineStr">
        <is>
          <t>M</t>
        </is>
      </c>
      <c r="D288" s="3" t="inlineStr">
        <is>
          <t>Germany</t>
        </is>
      </c>
      <c r="E288" s="3" t="inlineStr">
        <is>
          <t>Bayern</t>
        </is>
      </c>
      <c r="F288" s="3" t="inlineStr">
        <is>
          <t>Road Bikes</t>
        </is>
      </c>
      <c r="G288" s="3" t="inlineStr">
        <is>
          <t>Black</t>
        </is>
      </c>
      <c r="H288" s="3" t="inlineStr">
        <is>
          <t>Road-750 Black, 48</t>
        </is>
      </c>
      <c r="I288" s="4" t="n">
        <v>4</v>
      </c>
      <c r="J288" s="24" t="n">
        <v>700</v>
      </c>
      <c r="K288" s="24" t="n">
        <v>1100</v>
      </c>
      <c r="L288" s="25">
        <f>I288*K288</f>
        <v/>
      </c>
      <c r="M288" s="25">
        <f>I288*J288</f>
        <v/>
      </c>
      <c r="N288" s="25">
        <f>L288-M288</f>
        <v/>
      </c>
      <c r="O288" s="26">
        <f>IFERROR(N288/L288,0)</f>
        <v/>
      </c>
      <c r="P288">
        <f>YEAR(A288)</f>
        <v/>
      </c>
      <c r="Q288">
        <f>TEXT(A288,"mmm")</f>
        <v/>
      </c>
      <c r="R288">
        <f>IF(B288&lt;25,"18-24",IF(B288&lt;35,"25-34",IF(B288&lt;45,"35-44","45+")))</f>
        <v/>
      </c>
    </row>
    <row r="289">
      <c r="A289" s="23" t="n">
        <v>44493</v>
      </c>
      <c r="B289" s="3" t="n">
        <v>30</v>
      </c>
      <c r="C289" s="3" t="inlineStr">
        <is>
          <t>F</t>
        </is>
      </c>
      <c r="D289" s="3" t="inlineStr">
        <is>
          <t>Australia</t>
        </is>
      </c>
      <c r="E289" s="3" t="inlineStr">
        <is>
          <t>New South Wales</t>
        </is>
      </c>
      <c r="F289" s="3" t="inlineStr">
        <is>
          <t>Mountain Bikes</t>
        </is>
      </c>
      <c r="G289" s="3" t="inlineStr">
        <is>
          <t>Silver</t>
        </is>
      </c>
      <c r="H289" s="3" t="inlineStr">
        <is>
          <t>Mountain-200 Silver, 38</t>
        </is>
      </c>
      <c r="I289" s="4" t="n">
        <v>1</v>
      </c>
      <c r="J289" s="24" t="n">
        <v>550</v>
      </c>
      <c r="K289" s="24" t="n">
        <v>850</v>
      </c>
      <c r="L289" s="25">
        <f>I289*K289</f>
        <v/>
      </c>
      <c r="M289" s="25">
        <f>I289*J289</f>
        <v/>
      </c>
      <c r="N289" s="25">
        <f>L289-M289</f>
        <v/>
      </c>
      <c r="O289" s="26">
        <f>IFERROR(N289/L289,0)</f>
        <v/>
      </c>
      <c r="P289">
        <f>YEAR(A289)</f>
        <v/>
      </c>
      <c r="Q289">
        <f>TEXT(A289,"mmm")</f>
        <v/>
      </c>
      <c r="R289">
        <f>IF(B289&lt;25,"18-24",IF(B289&lt;35,"25-34",IF(B289&lt;45,"35-44","45+")))</f>
        <v/>
      </c>
    </row>
    <row r="290">
      <c r="A290" s="23" t="n">
        <v>44496</v>
      </c>
      <c r="B290" s="3" t="n">
        <v>30</v>
      </c>
      <c r="C290" s="3" t="inlineStr">
        <is>
          <t>M</t>
        </is>
      </c>
      <c r="D290" s="3" t="inlineStr">
        <is>
          <t>Canada</t>
        </is>
      </c>
      <c r="E290" s="3" t="inlineStr">
        <is>
          <t>British Columbia</t>
        </is>
      </c>
      <c r="F290" s="3" t="inlineStr">
        <is>
          <t>Road Bikes</t>
        </is>
      </c>
      <c r="G290" s="3" t="inlineStr">
        <is>
          <t>Black</t>
        </is>
      </c>
      <c r="H290" s="3" t="inlineStr">
        <is>
          <t>Road-750 Black, 52</t>
        </is>
      </c>
      <c r="I290" s="4" t="n">
        <v>1</v>
      </c>
      <c r="J290" s="24" t="n">
        <v>700</v>
      </c>
      <c r="K290" s="24" t="n">
        <v>1100</v>
      </c>
      <c r="L290" s="25">
        <f>I290*K290</f>
        <v/>
      </c>
      <c r="M290" s="25">
        <f>I290*J290</f>
        <v/>
      </c>
      <c r="N290" s="25">
        <f>L290-M290</f>
        <v/>
      </c>
      <c r="O290" s="26">
        <f>IFERROR(N290/L290,0)</f>
        <v/>
      </c>
      <c r="P290">
        <f>YEAR(A290)</f>
        <v/>
      </c>
      <c r="Q290">
        <f>TEXT(A290,"mmm")</f>
        <v/>
      </c>
      <c r="R290">
        <f>IF(B290&lt;25,"18-24",IF(B290&lt;35,"25-34",IF(B290&lt;45,"35-44","45+")))</f>
        <v/>
      </c>
    </row>
    <row r="291">
      <c r="A291" s="23" t="n">
        <v>44499</v>
      </c>
      <c r="B291" s="3" t="n">
        <v>30</v>
      </c>
      <c r="C291" s="3" t="inlineStr">
        <is>
          <t>F</t>
        </is>
      </c>
      <c r="D291" s="3" t="inlineStr">
        <is>
          <t>France</t>
        </is>
      </c>
      <c r="E291" s="3" t="inlineStr">
        <is>
          <t>Seine (Paris)</t>
        </is>
      </c>
      <c r="F291" s="3" t="inlineStr">
        <is>
          <t>Road Bikes</t>
        </is>
      </c>
      <c r="G291" s="3" t="inlineStr">
        <is>
          <t>Black</t>
        </is>
      </c>
      <c r="H291" s="3" t="inlineStr">
        <is>
          <t>Road-650 Black, 52</t>
        </is>
      </c>
      <c r="I291" s="4" t="n">
        <v>1</v>
      </c>
      <c r="J291" s="24" t="n">
        <v>620</v>
      </c>
      <c r="K291" s="24" t="n">
        <v>980</v>
      </c>
      <c r="L291" s="25">
        <f>I291*K291</f>
        <v/>
      </c>
      <c r="M291" s="25">
        <f>I291*J291</f>
        <v/>
      </c>
      <c r="N291" s="25">
        <f>L291-M291</f>
        <v/>
      </c>
      <c r="O291" s="26">
        <f>IFERROR(N291/L291,0)</f>
        <v/>
      </c>
      <c r="P291">
        <f>YEAR(A291)</f>
        <v/>
      </c>
      <c r="Q291">
        <f>TEXT(A291,"mmm")</f>
        <v/>
      </c>
      <c r="R291">
        <f>IF(B291&lt;25,"18-24",IF(B291&lt;35,"25-34",IF(B291&lt;45,"35-44","45+")))</f>
        <v/>
      </c>
    </row>
    <row r="292">
      <c r="A292" s="23" t="n">
        <v>44511</v>
      </c>
      <c r="B292" s="3" t="n">
        <v>30</v>
      </c>
      <c r="C292" s="3" t="inlineStr">
        <is>
          <t>F</t>
        </is>
      </c>
      <c r="D292" s="3" t="inlineStr">
        <is>
          <t>United States</t>
        </is>
      </c>
      <c r="E292" s="3" t="inlineStr">
        <is>
          <t>California</t>
        </is>
      </c>
      <c r="F292" s="3" t="inlineStr">
        <is>
          <t>Mountain Bikes</t>
        </is>
      </c>
      <c r="G292" s="3" t="inlineStr">
        <is>
          <t>Black</t>
        </is>
      </c>
      <c r="H292" s="3" t="inlineStr">
        <is>
          <t>Mountain-500 Black, 48</t>
        </is>
      </c>
      <c r="I292" s="4" t="n">
        <v>3</v>
      </c>
      <c r="J292" s="24" t="n">
        <v>480</v>
      </c>
      <c r="K292" s="24" t="n">
        <v>760</v>
      </c>
      <c r="L292" s="25">
        <f>I292*K292</f>
        <v/>
      </c>
      <c r="M292" s="25">
        <f>I292*J292</f>
        <v/>
      </c>
      <c r="N292" s="25">
        <f>L292-M292</f>
        <v/>
      </c>
      <c r="O292" s="26">
        <f>IFERROR(N292/L292,0)</f>
        <v/>
      </c>
      <c r="P292">
        <f>YEAR(A292)</f>
        <v/>
      </c>
      <c r="Q292">
        <f>TEXT(A292,"mmm")</f>
        <v/>
      </c>
      <c r="R292">
        <f>IF(B292&lt;25,"18-24",IF(B292&lt;35,"25-34",IF(B292&lt;45,"35-44","45+")))</f>
        <v/>
      </c>
    </row>
    <row r="293">
      <c r="A293" s="23" t="n">
        <v>44519</v>
      </c>
      <c r="B293" s="3" t="n">
        <v>30</v>
      </c>
      <c r="C293" s="3" t="inlineStr">
        <is>
          <t>M</t>
        </is>
      </c>
      <c r="D293" s="3" t="inlineStr">
        <is>
          <t>United States</t>
        </is>
      </c>
      <c r="E293" s="3" t="inlineStr">
        <is>
          <t>Washington</t>
        </is>
      </c>
      <c r="F293" s="3" t="inlineStr">
        <is>
          <t>Mountain Bikes</t>
        </is>
      </c>
      <c r="G293" s="3" t="inlineStr">
        <is>
          <t>Silver</t>
        </is>
      </c>
      <c r="H293" s="3" t="inlineStr">
        <is>
          <t>Mountain-200 Silver, 38</t>
        </is>
      </c>
      <c r="I293" s="4" t="n">
        <v>2</v>
      </c>
      <c r="J293" s="24" t="n">
        <v>550</v>
      </c>
      <c r="K293" s="24" t="n">
        <v>850</v>
      </c>
      <c r="L293" s="25">
        <f>I293*K293</f>
        <v/>
      </c>
      <c r="M293" s="25">
        <f>I293*J293</f>
        <v/>
      </c>
      <c r="N293" s="25">
        <f>L293-M293</f>
        <v/>
      </c>
      <c r="O293" s="26">
        <f>IFERROR(N293/L293,0)</f>
        <v/>
      </c>
      <c r="P293">
        <f>YEAR(A293)</f>
        <v/>
      </c>
      <c r="Q293">
        <f>TEXT(A293,"mmm")</f>
        <v/>
      </c>
      <c r="R293">
        <f>IF(B293&lt;25,"18-24",IF(B293&lt;35,"25-34",IF(B293&lt;45,"35-44","45+")))</f>
        <v/>
      </c>
    </row>
    <row r="294">
      <c r="A294" s="23" t="n">
        <v>44523</v>
      </c>
      <c r="B294" s="3" t="n">
        <v>30</v>
      </c>
      <c r="C294" s="3" t="inlineStr">
        <is>
          <t>F</t>
        </is>
      </c>
      <c r="D294" s="3" t="inlineStr">
        <is>
          <t>United States</t>
        </is>
      </c>
      <c r="E294" s="3" t="inlineStr">
        <is>
          <t>California</t>
        </is>
      </c>
      <c r="F294" s="3" t="inlineStr">
        <is>
          <t>Road Bikes</t>
        </is>
      </c>
      <c r="G294" s="3" t="inlineStr">
        <is>
          <t>Black</t>
        </is>
      </c>
      <c r="H294" s="3" t="inlineStr">
        <is>
          <t>Road-650 Black, 58</t>
        </is>
      </c>
      <c r="I294" s="4" t="n">
        <v>4</v>
      </c>
      <c r="J294" s="24" t="n">
        <v>620</v>
      </c>
      <c r="K294" s="24" t="n">
        <v>980</v>
      </c>
      <c r="L294" s="25">
        <f>I294*K294</f>
        <v/>
      </c>
      <c r="M294" s="25">
        <f>I294*J294</f>
        <v/>
      </c>
      <c r="N294" s="25">
        <f>L294-M294</f>
        <v/>
      </c>
      <c r="O294" s="26">
        <f>IFERROR(N294/L294,0)</f>
        <v/>
      </c>
      <c r="P294">
        <f>YEAR(A294)</f>
        <v/>
      </c>
      <c r="Q294">
        <f>TEXT(A294,"mmm")</f>
        <v/>
      </c>
      <c r="R294">
        <f>IF(B294&lt;25,"18-24",IF(B294&lt;35,"25-34",IF(B294&lt;45,"35-44","45+")))</f>
        <v/>
      </c>
    </row>
    <row r="295">
      <c r="A295" s="23" t="n">
        <v>44530</v>
      </c>
      <c r="B295" s="3" t="n">
        <v>30</v>
      </c>
      <c r="C295" s="3" t="inlineStr">
        <is>
          <t>M</t>
        </is>
      </c>
      <c r="D295" s="3" t="inlineStr">
        <is>
          <t>United States</t>
        </is>
      </c>
      <c r="E295" s="3" t="inlineStr">
        <is>
          <t>Washington</t>
        </is>
      </c>
      <c r="F295" s="3" t="inlineStr">
        <is>
          <t>Road Bikes</t>
        </is>
      </c>
      <c r="G295" s="3" t="inlineStr">
        <is>
          <t>Red</t>
        </is>
      </c>
      <c r="H295" s="3" t="inlineStr">
        <is>
          <t>Road-650 Red, 58</t>
        </is>
      </c>
      <c r="I295" s="4" t="n">
        <v>2</v>
      </c>
      <c r="J295" s="24" t="n">
        <v>620</v>
      </c>
      <c r="K295" s="24" t="n">
        <v>980</v>
      </c>
      <c r="L295" s="25">
        <f>I295*K295</f>
        <v/>
      </c>
      <c r="M295" s="25">
        <f>I295*J295</f>
        <v/>
      </c>
      <c r="N295" s="25">
        <f>L295-M295</f>
        <v/>
      </c>
      <c r="O295" s="26">
        <f>IFERROR(N295/L295,0)</f>
        <v/>
      </c>
      <c r="P295">
        <f>YEAR(A295)</f>
        <v/>
      </c>
      <c r="Q295">
        <f>TEXT(A295,"mmm")</f>
        <v/>
      </c>
      <c r="R295">
        <f>IF(B295&lt;25,"18-24",IF(B295&lt;35,"25-34",IF(B295&lt;45,"35-44","45+")))</f>
        <v/>
      </c>
    </row>
    <row r="296">
      <c r="A296" s="23" t="n">
        <v>44537</v>
      </c>
      <c r="B296" s="3" t="n">
        <v>30</v>
      </c>
      <c r="C296" s="3" t="inlineStr">
        <is>
          <t>M</t>
        </is>
      </c>
      <c r="D296" s="3" t="inlineStr">
        <is>
          <t>United States</t>
        </is>
      </c>
      <c r="E296" s="3" t="inlineStr">
        <is>
          <t>California</t>
        </is>
      </c>
      <c r="F296" s="3" t="inlineStr">
        <is>
          <t>Mountain Bikes</t>
        </is>
      </c>
      <c r="G296" s="3" t="inlineStr">
        <is>
          <t>Silver</t>
        </is>
      </c>
      <c r="H296" s="3" t="inlineStr">
        <is>
          <t>Mountain-400-W Silver, 38</t>
        </is>
      </c>
      <c r="I296" s="4" t="n">
        <v>4</v>
      </c>
      <c r="J296" s="24" t="n">
        <v>450</v>
      </c>
      <c r="K296" s="24" t="n">
        <v>720</v>
      </c>
      <c r="L296" s="25">
        <f>I296*K296</f>
        <v/>
      </c>
      <c r="M296" s="25">
        <f>I296*J296</f>
        <v/>
      </c>
      <c r="N296" s="25">
        <f>L296-M296</f>
        <v/>
      </c>
      <c r="O296" s="26">
        <f>IFERROR(N296/L296,0)</f>
        <v/>
      </c>
      <c r="P296">
        <f>YEAR(A296)</f>
        <v/>
      </c>
      <c r="Q296">
        <f>TEXT(A296,"mmm")</f>
        <v/>
      </c>
      <c r="R296">
        <f>IF(B296&lt;25,"18-24",IF(B296&lt;35,"25-34",IF(B296&lt;45,"35-44","45+")))</f>
        <v/>
      </c>
    </row>
    <row r="297">
      <c r="A297" s="23" t="n">
        <v>44538</v>
      </c>
      <c r="B297" s="3" t="n">
        <v>30</v>
      </c>
      <c r="C297" s="3" t="inlineStr">
        <is>
          <t>F</t>
        </is>
      </c>
      <c r="D297" s="3" t="inlineStr">
        <is>
          <t>Canada</t>
        </is>
      </c>
      <c r="E297" s="3" t="inlineStr">
        <is>
          <t>British Columbia</t>
        </is>
      </c>
      <c r="F297" s="3" t="inlineStr">
        <is>
          <t>Mountain Bikes</t>
        </is>
      </c>
      <c r="G297" s="3" t="inlineStr">
        <is>
          <t>Silver</t>
        </is>
      </c>
      <c r="H297" s="3" t="inlineStr">
        <is>
          <t>Mountain-200 Silver, 38</t>
        </is>
      </c>
      <c r="I297" s="4" t="n">
        <v>4</v>
      </c>
      <c r="J297" s="24" t="n">
        <v>550</v>
      </c>
      <c r="K297" s="24" t="n">
        <v>850</v>
      </c>
      <c r="L297" s="25">
        <f>I297*K297</f>
        <v/>
      </c>
      <c r="M297" s="25">
        <f>I297*J297</f>
        <v/>
      </c>
      <c r="N297" s="25">
        <f>L297-M297</f>
        <v/>
      </c>
      <c r="O297" s="26">
        <f>IFERROR(N297/L297,0)</f>
        <v/>
      </c>
      <c r="P297">
        <f>YEAR(A297)</f>
        <v/>
      </c>
      <c r="Q297">
        <f>TEXT(A297,"mmm")</f>
        <v/>
      </c>
      <c r="R297">
        <f>IF(B297&lt;25,"18-24",IF(B297&lt;35,"25-34",IF(B297&lt;45,"35-44","45+")))</f>
        <v/>
      </c>
    </row>
    <row r="298">
      <c r="A298" s="23" t="n">
        <v>44538</v>
      </c>
      <c r="B298" s="3" t="n">
        <v>30</v>
      </c>
      <c r="C298" s="3" t="inlineStr">
        <is>
          <t>F</t>
        </is>
      </c>
      <c r="D298" s="3" t="inlineStr">
        <is>
          <t>Australia</t>
        </is>
      </c>
      <c r="E298" s="3" t="inlineStr">
        <is>
          <t>Queensland</t>
        </is>
      </c>
      <c r="F298" s="3" t="inlineStr">
        <is>
          <t>Road Bikes</t>
        </is>
      </c>
      <c r="G298" s="3" t="inlineStr">
        <is>
          <t>Yellow</t>
        </is>
      </c>
      <c r="H298" s="3" t="inlineStr">
        <is>
          <t>Road-350-W Yellow, 48</t>
        </is>
      </c>
      <c r="I298" s="4" t="n">
        <v>1</v>
      </c>
      <c r="J298" s="24" t="n">
        <v>530</v>
      </c>
      <c r="K298" s="24" t="n">
        <v>840</v>
      </c>
      <c r="L298" s="25">
        <f>I298*K298</f>
        <v/>
      </c>
      <c r="M298" s="25">
        <f>I298*J298</f>
        <v/>
      </c>
      <c r="N298" s="25">
        <f>L298-M298</f>
        <v/>
      </c>
      <c r="O298" s="26">
        <f>IFERROR(N298/L298,0)</f>
        <v/>
      </c>
      <c r="P298">
        <f>YEAR(A298)</f>
        <v/>
      </c>
      <c r="Q298">
        <f>TEXT(A298,"mmm")</f>
        <v/>
      </c>
      <c r="R298">
        <f>IF(B298&lt;25,"18-24",IF(B298&lt;35,"25-34",IF(B298&lt;45,"35-44","45+")))</f>
        <v/>
      </c>
    </row>
    <row r="299">
      <c r="A299" s="23" t="n">
        <v>44544</v>
      </c>
      <c r="B299" s="3" t="n">
        <v>30</v>
      </c>
      <c r="C299" s="3" t="inlineStr">
        <is>
          <t>F</t>
        </is>
      </c>
      <c r="D299" s="3" t="inlineStr">
        <is>
          <t>United States</t>
        </is>
      </c>
      <c r="E299" s="3" t="inlineStr">
        <is>
          <t>Washington</t>
        </is>
      </c>
      <c r="F299" s="3" t="inlineStr">
        <is>
          <t>Mountain Bikes</t>
        </is>
      </c>
      <c r="G299" s="3" t="inlineStr">
        <is>
          <t>Silver</t>
        </is>
      </c>
      <c r="H299" s="3" t="inlineStr">
        <is>
          <t>Mountain-200 Silver, 38</t>
        </is>
      </c>
      <c r="I299" s="4" t="n">
        <v>2</v>
      </c>
      <c r="J299" s="24" t="n">
        <v>550</v>
      </c>
      <c r="K299" s="24" t="n">
        <v>850</v>
      </c>
      <c r="L299" s="25">
        <f>I299*K299</f>
        <v/>
      </c>
      <c r="M299" s="25">
        <f>I299*J299</f>
        <v/>
      </c>
      <c r="N299" s="25">
        <f>L299-M299</f>
        <v/>
      </c>
      <c r="O299" s="26">
        <f>IFERROR(N299/L299,0)</f>
        <v/>
      </c>
      <c r="P299">
        <f>YEAR(A299)</f>
        <v/>
      </c>
      <c r="Q299">
        <f>TEXT(A299,"mmm")</f>
        <v/>
      </c>
      <c r="R299">
        <f>IF(B299&lt;25,"18-24",IF(B299&lt;35,"25-34",IF(B299&lt;45,"35-44","45+")))</f>
        <v/>
      </c>
    </row>
    <row r="300">
      <c r="A300" s="23" t="n">
        <v>44544</v>
      </c>
      <c r="B300" s="3" t="n">
        <v>30</v>
      </c>
      <c r="C300" s="3" t="inlineStr">
        <is>
          <t>M</t>
        </is>
      </c>
      <c r="D300" s="3" t="inlineStr">
        <is>
          <t>France</t>
        </is>
      </c>
      <c r="E300" s="3" t="inlineStr">
        <is>
          <t>Seine Saint Denis</t>
        </is>
      </c>
      <c r="F300" s="3" t="inlineStr">
        <is>
          <t>Road Bikes</t>
        </is>
      </c>
      <c r="G300" s="3" t="inlineStr">
        <is>
          <t>Black</t>
        </is>
      </c>
      <c r="H300" s="3" t="inlineStr">
        <is>
          <t>Road-250 Black, 48</t>
        </is>
      </c>
      <c r="I300" s="4" t="n">
        <v>2</v>
      </c>
      <c r="J300" s="24" t="n">
        <v>580</v>
      </c>
      <c r="K300" s="24" t="n">
        <v>920</v>
      </c>
      <c r="L300" s="25">
        <f>I300*K300</f>
        <v/>
      </c>
      <c r="M300" s="25">
        <f>I300*J300</f>
        <v/>
      </c>
      <c r="N300" s="25">
        <f>L300-M300</f>
        <v/>
      </c>
      <c r="O300" s="26">
        <f>IFERROR(N300/L300,0)</f>
        <v/>
      </c>
      <c r="P300">
        <f>YEAR(A300)</f>
        <v/>
      </c>
      <c r="Q300">
        <f>TEXT(A300,"mmm")</f>
        <v/>
      </c>
      <c r="R300">
        <f>IF(B300&lt;25,"18-24",IF(B300&lt;35,"25-34",IF(B300&lt;45,"35-44","45+")))</f>
        <v/>
      </c>
    </row>
    <row r="301">
      <c r="A301" s="23" t="n">
        <v>44552</v>
      </c>
      <c r="B301" s="3" t="n">
        <v>30</v>
      </c>
      <c r="C301" s="3" t="inlineStr">
        <is>
          <t>F</t>
        </is>
      </c>
      <c r="D301" s="3" t="inlineStr">
        <is>
          <t>United States</t>
        </is>
      </c>
      <c r="E301" s="3" t="inlineStr">
        <is>
          <t>Washington</t>
        </is>
      </c>
      <c r="F301" s="3" t="inlineStr">
        <is>
          <t>Mountain Bikes</t>
        </is>
      </c>
      <c r="G301" s="3" t="inlineStr">
        <is>
          <t>Silver</t>
        </is>
      </c>
      <c r="H301" s="3" t="inlineStr">
        <is>
          <t>Mountain-200 Silver, 38</t>
        </is>
      </c>
      <c r="I301" s="4" t="n">
        <v>3</v>
      </c>
      <c r="J301" s="24" t="n">
        <v>550</v>
      </c>
      <c r="K301" s="24" t="n">
        <v>850</v>
      </c>
      <c r="L301" s="25">
        <f>I301*K301</f>
        <v/>
      </c>
      <c r="M301" s="25">
        <f>I301*J301</f>
        <v/>
      </c>
      <c r="N301" s="25">
        <f>L301-M301</f>
        <v/>
      </c>
      <c r="O301" s="26">
        <f>IFERROR(N301/L301,0)</f>
        <v/>
      </c>
      <c r="P301">
        <f>YEAR(A301)</f>
        <v/>
      </c>
      <c r="Q301">
        <f>TEXT(A301,"mmm")</f>
        <v/>
      </c>
      <c r="R301">
        <f>IF(B301&lt;25,"18-24",IF(B301&lt;35,"25-34",IF(B301&lt;45,"35-44","45+")))</f>
        <v/>
      </c>
    </row>
    <row r="302">
      <c r="A302" s="23" t="n">
        <v>44553</v>
      </c>
      <c r="B302" s="3" t="n">
        <v>30</v>
      </c>
      <c r="C302" s="3" t="inlineStr">
        <is>
          <t>F</t>
        </is>
      </c>
      <c r="D302" s="3" t="inlineStr">
        <is>
          <t>United States</t>
        </is>
      </c>
      <c r="E302" s="3" t="inlineStr">
        <is>
          <t>Oregon</t>
        </is>
      </c>
      <c r="F302" s="3" t="inlineStr">
        <is>
          <t>Mountain Bikes</t>
        </is>
      </c>
      <c r="G302" s="3" t="inlineStr">
        <is>
          <t>Silver</t>
        </is>
      </c>
      <c r="H302" s="3" t="inlineStr">
        <is>
          <t>Mountain-200 Silver, 42</t>
        </is>
      </c>
      <c r="I302" s="4" t="n">
        <v>1</v>
      </c>
      <c r="J302" s="24" t="n">
        <v>550</v>
      </c>
      <c r="K302" s="24" t="n">
        <v>850</v>
      </c>
      <c r="L302" s="25">
        <f>I302*K302</f>
        <v/>
      </c>
      <c r="M302" s="25">
        <f>I302*J302</f>
        <v/>
      </c>
      <c r="N302" s="25">
        <f>L302-M302</f>
        <v/>
      </c>
      <c r="O302" s="26">
        <f>IFERROR(N302/L302,0)</f>
        <v/>
      </c>
      <c r="P302">
        <f>YEAR(A302)</f>
        <v/>
      </c>
      <c r="Q302">
        <f>TEXT(A302,"mmm")</f>
        <v/>
      </c>
      <c r="R302">
        <f>IF(B302&lt;25,"18-24",IF(B302&lt;35,"25-34",IF(B302&lt;45,"35-44","45+")))</f>
        <v/>
      </c>
    </row>
    <row r="303">
      <c r="A303" s="23" t="n">
        <v>44556</v>
      </c>
      <c r="B303" s="3" t="n">
        <v>30</v>
      </c>
      <c r="C303" s="3" t="inlineStr">
        <is>
          <t>M</t>
        </is>
      </c>
      <c r="D303" s="3" t="inlineStr">
        <is>
          <t>United States</t>
        </is>
      </c>
      <c r="E303" s="3" t="inlineStr">
        <is>
          <t>California</t>
        </is>
      </c>
      <c r="F303" s="3" t="inlineStr">
        <is>
          <t>Mountain Bikes</t>
        </is>
      </c>
      <c r="G303" s="3" t="inlineStr">
        <is>
          <t>Silver</t>
        </is>
      </c>
      <c r="H303" s="3" t="inlineStr">
        <is>
          <t>Mountain-400-W Silver, 38</t>
        </is>
      </c>
      <c r="I303" s="4" t="n">
        <v>2</v>
      </c>
      <c r="J303" s="24" t="n">
        <v>450</v>
      </c>
      <c r="K303" s="24" t="n">
        <v>720</v>
      </c>
      <c r="L303" s="25">
        <f>I303*K303</f>
        <v/>
      </c>
      <c r="M303" s="25">
        <f>I303*J303</f>
        <v/>
      </c>
      <c r="N303" s="25">
        <f>L303-M303</f>
        <v/>
      </c>
      <c r="O303" s="26">
        <f>IFERROR(N303/L303,0)</f>
        <v/>
      </c>
      <c r="P303">
        <f>YEAR(A303)</f>
        <v/>
      </c>
      <c r="Q303">
        <f>TEXT(A303,"mmm")</f>
        <v/>
      </c>
      <c r="R303">
        <f>IF(B303&lt;25,"18-24",IF(B303&lt;35,"25-34",IF(B303&lt;45,"35-44","45+")))</f>
        <v/>
      </c>
    </row>
    <row r="304">
      <c r="A304" s="23" t="n">
        <v>44558</v>
      </c>
      <c r="B304" s="3" t="n">
        <v>30</v>
      </c>
      <c r="C304" s="3" t="inlineStr">
        <is>
          <t>F</t>
        </is>
      </c>
      <c r="D304" s="3" t="inlineStr">
        <is>
          <t>United States</t>
        </is>
      </c>
      <c r="E304" s="3" t="inlineStr">
        <is>
          <t>Washington</t>
        </is>
      </c>
      <c r="F304" s="3" t="inlineStr">
        <is>
          <t>Mountain Bikes</t>
        </is>
      </c>
      <c r="G304" s="3" t="inlineStr">
        <is>
          <t>Silver</t>
        </is>
      </c>
      <c r="H304" s="3" t="inlineStr">
        <is>
          <t>Mountain-200 Silver, 38</t>
        </is>
      </c>
      <c r="I304" s="4" t="n">
        <v>2</v>
      </c>
      <c r="J304" s="24" t="n">
        <v>550</v>
      </c>
      <c r="K304" s="24" t="n">
        <v>850</v>
      </c>
      <c r="L304" s="25">
        <f>I304*K304</f>
        <v/>
      </c>
      <c r="M304" s="25">
        <f>I304*J304</f>
        <v/>
      </c>
      <c r="N304" s="25">
        <f>L304-M304</f>
        <v/>
      </c>
      <c r="O304" s="26">
        <f>IFERROR(N304/L304,0)</f>
        <v/>
      </c>
      <c r="P304">
        <f>YEAR(A304)</f>
        <v/>
      </c>
      <c r="Q304">
        <f>TEXT(A304,"mmm")</f>
        <v/>
      </c>
      <c r="R304">
        <f>IF(B304&lt;25,"18-24",IF(B304&lt;35,"25-34",IF(B304&lt;45,"35-44","45+")))</f>
        <v/>
      </c>
    </row>
    <row r="305">
      <c r="A305" s="23" t="n">
        <v>44559</v>
      </c>
      <c r="B305" s="3" t="n">
        <v>30</v>
      </c>
      <c r="C305" s="3" t="inlineStr">
        <is>
          <t>M</t>
        </is>
      </c>
      <c r="D305" s="3" t="inlineStr">
        <is>
          <t>France</t>
        </is>
      </c>
      <c r="E305" s="3" t="inlineStr">
        <is>
          <t>Moselle</t>
        </is>
      </c>
      <c r="F305" s="3" t="inlineStr">
        <is>
          <t>Road Bikes</t>
        </is>
      </c>
      <c r="G305" s="3" t="inlineStr">
        <is>
          <t>Yellow</t>
        </is>
      </c>
      <c r="H305" s="3" t="inlineStr">
        <is>
          <t>Road-550-W Yellow, 38</t>
        </is>
      </c>
      <c r="I305" s="4" t="n">
        <v>2</v>
      </c>
      <c r="J305" s="24" t="n">
        <v>500</v>
      </c>
      <c r="K305" s="24" t="n">
        <v>800</v>
      </c>
      <c r="L305" s="25">
        <f>I305*K305</f>
        <v/>
      </c>
      <c r="M305" s="25">
        <f>I305*J305</f>
        <v/>
      </c>
      <c r="N305" s="25">
        <f>L305-M305</f>
        <v/>
      </c>
      <c r="O305" s="26">
        <f>IFERROR(N305/L305,0)</f>
        <v/>
      </c>
      <c r="P305">
        <f>YEAR(A305)</f>
        <v/>
      </c>
      <c r="Q305">
        <f>TEXT(A305,"mmm")</f>
        <v/>
      </c>
      <c r="R305">
        <f>IF(B305&lt;25,"18-24",IF(B305&lt;35,"25-34",IF(B305&lt;45,"35-44","45+")))</f>
        <v/>
      </c>
    </row>
    <row r="306">
      <c r="A306" s="23" t="n">
        <v>44560</v>
      </c>
      <c r="B306" s="3" t="n">
        <v>30</v>
      </c>
      <c r="C306" s="3" t="inlineStr">
        <is>
          <t>M</t>
        </is>
      </c>
      <c r="D306" s="3" t="inlineStr">
        <is>
          <t>Australia</t>
        </is>
      </c>
      <c r="E306" s="3" t="inlineStr">
        <is>
          <t>Victoria</t>
        </is>
      </c>
      <c r="F306" s="3" t="inlineStr">
        <is>
          <t>Road Bikes</t>
        </is>
      </c>
      <c r="G306" s="3" t="inlineStr">
        <is>
          <t>Red</t>
        </is>
      </c>
      <c r="H306" s="3" t="inlineStr">
        <is>
          <t>Road-150 Red, 48</t>
        </is>
      </c>
      <c r="I306" s="4" t="n">
        <v>1</v>
      </c>
      <c r="J306" s="24" t="n">
        <v>900</v>
      </c>
      <c r="K306" s="24" t="n">
        <v>1400</v>
      </c>
      <c r="L306" s="25">
        <f>I306*K306</f>
        <v/>
      </c>
      <c r="M306" s="25">
        <f>I306*J306</f>
        <v/>
      </c>
      <c r="N306" s="25">
        <f>L306-M306</f>
        <v/>
      </c>
      <c r="O306" s="26">
        <f>IFERROR(N306/L306,0)</f>
        <v/>
      </c>
      <c r="P306">
        <f>YEAR(A306)</f>
        <v/>
      </c>
      <c r="Q306">
        <f>TEXT(A306,"mmm")</f>
        <v/>
      </c>
      <c r="R306">
        <f>IF(B306&lt;25,"18-24",IF(B306&lt;35,"25-34",IF(B306&lt;45,"35-44","45+")))</f>
        <v/>
      </c>
    </row>
    <row r="307">
      <c r="A307" s="23" t="n">
        <v>44477</v>
      </c>
      <c r="B307" s="3" t="n">
        <v>31</v>
      </c>
      <c r="C307" s="3" t="inlineStr">
        <is>
          <t>F</t>
        </is>
      </c>
      <c r="D307" s="3" t="inlineStr">
        <is>
          <t>Germany</t>
        </is>
      </c>
      <c r="E307" s="3" t="inlineStr">
        <is>
          <t>Saarland</t>
        </is>
      </c>
      <c r="F307" s="3" t="inlineStr">
        <is>
          <t>Road Bikes</t>
        </is>
      </c>
      <c r="G307" s="3" t="inlineStr">
        <is>
          <t>Black</t>
        </is>
      </c>
      <c r="H307" s="3" t="inlineStr">
        <is>
          <t>Road-250 Black, 44</t>
        </is>
      </c>
      <c r="I307" s="4" t="n">
        <v>3</v>
      </c>
      <c r="J307" s="24" t="n">
        <v>580</v>
      </c>
      <c r="K307" s="24" t="n">
        <v>920</v>
      </c>
      <c r="L307" s="25">
        <f>I307*K307</f>
        <v/>
      </c>
      <c r="M307" s="25">
        <f>I307*J307</f>
        <v/>
      </c>
      <c r="N307" s="25">
        <f>L307-M307</f>
        <v/>
      </c>
      <c r="O307" s="26">
        <f>IFERROR(N307/L307,0)</f>
        <v/>
      </c>
      <c r="P307">
        <f>YEAR(A307)</f>
        <v/>
      </c>
      <c r="Q307">
        <f>TEXT(A307,"mmm")</f>
        <v/>
      </c>
      <c r="R307">
        <f>IF(B307&lt;25,"18-24",IF(B307&lt;35,"25-34",IF(B307&lt;45,"35-44","45+")))</f>
        <v/>
      </c>
    </row>
    <row r="308">
      <c r="A308" s="23" t="n">
        <v>44482</v>
      </c>
      <c r="B308" s="3" t="n">
        <v>31</v>
      </c>
      <c r="C308" s="3" t="inlineStr">
        <is>
          <t>F</t>
        </is>
      </c>
      <c r="D308" s="3" t="inlineStr">
        <is>
          <t>United States</t>
        </is>
      </c>
      <c r="E308" s="3" t="inlineStr">
        <is>
          <t>California</t>
        </is>
      </c>
      <c r="F308" s="3" t="inlineStr">
        <is>
          <t>Mountain Bikes</t>
        </is>
      </c>
      <c r="G308" s="3" t="inlineStr">
        <is>
          <t>Black</t>
        </is>
      </c>
      <c r="H308" s="3" t="inlineStr">
        <is>
          <t>Mountain-200 Black, 38</t>
        </is>
      </c>
      <c r="I308" s="4" t="n">
        <v>1</v>
      </c>
      <c r="J308" s="24" t="n">
        <v>550</v>
      </c>
      <c r="K308" s="24" t="n">
        <v>850</v>
      </c>
      <c r="L308" s="25">
        <f>I308*K308</f>
        <v/>
      </c>
      <c r="M308" s="25">
        <f>I308*J308</f>
        <v/>
      </c>
      <c r="N308" s="25">
        <f>L308-M308</f>
        <v/>
      </c>
      <c r="O308" s="26">
        <f>IFERROR(N308/L308,0)</f>
        <v/>
      </c>
      <c r="P308">
        <f>YEAR(A308)</f>
        <v/>
      </c>
      <c r="Q308">
        <f>TEXT(A308,"mmm")</f>
        <v/>
      </c>
      <c r="R308">
        <f>IF(B308&lt;25,"18-24",IF(B308&lt;35,"25-34",IF(B308&lt;45,"35-44","45+")))</f>
        <v/>
      </c>
    </row>
    <row r="309">
      <c r="A309" s="23" t="n">
        <v>44483</v>
      </c>
      <c r="B309" s="3" t="n">
        <v>31</v>
      </c>
      <c r="C309" s="3" t="inlineStr">
        <is>
          <t>M</t>
        </is>
      </c>
      <c r="D309" s="3" t="inlineStr">
        <is>
          <t>Germany</t>
        </is>
      </c>
      <c r="E309" s="3" t="inlineStr">
        <is>
          <t>Bayern</t>
        </is>
      </c>
      <c r="F309" s="3" t="inlineStr">
        <is>
          <t>Road Bikes</t>
        </is>
      </c>
      <c r="G309" s="3" t="inlineStr">
        <is>
          <t>Red</t>
        </is>
      </c>
      <c r="H309" s="3" t="inlineStr">
        <is>
          <t>Road-250 Red, 52</t>
        </is>
      </c>
      <c r="I309" s="4" t="n">
        <v>1</v>
      </c>
      <c r="J309" s="24" t="n">
        <v>580</v>
      </c>
      <c r="K309" s="24" t="n">
        <v>920</v>
      </c>
      <c r="L309" s="25">
        <f>I309*K309</f>
        <v/>
      </c>
      <c r="M309" s="25">
        <f>I309*J309</f>
        <v/>
      </c>
      <c r="N309" s="25">
        <f>L309-M309</f>
        <v/>
      </c>
      <c r="O309" s="26">
        <f>IFERROR(N309/L309,0)</f>
        <v/>
      </c>
      <c r="P309">
        <f>YEAR(A309)</f>
        <v/>
      </c>
      <c r="Q309">
        <f>TEXT(A309,"mmm")</f>
        <v/>
      </c>
      <c r="R309">
        <f>IF(B309&lt;25,"18-24",IF(B309&lt;35,"25-34",IF(B309&lt;45,"35-44","45+")))</f>
        <v/>
      </c>
    </row>
    <row r="310">
      <c r="A310" s="23" t="n">
        <v>44488</v>
      </c>
      <c r="B310" s="3" t="n">
        <v>31</v>
      </c>
      <c r="C310" s="3" t="inlineStr">
        <is>
          <t>F</t>
        </is>
      </c>
      <c r="D310" s="3" t="inlineStr">
        <is>
          <t>United States</t>
        </is>
      </c>
      <c r="E310" s="3" t="inlineStr">
        <is>
          <t>Washington</t>
        </is>
      </c>
      <c r="F310" s="3" t="inlineStr">
        <is>
          <t>Mountain Bikes</t>
        </is>
      </c>
      <c r="G310" s="3" t="inlineStr">
        <is>
          <t>Silver</t>
        </is>
      </c>
      <c r="H310" s="3" t="inlineStr">
        <is>
          <t>Mountain-200 Silver, 38</t>
        </is>
      </c>
      <c r="I310" s="4" t="n">
        <v>1</v>
      </c>
      <c r="J310" s="24" t="n">
        <v>550</v>
      </c>
      <c r="K310" s="24" t="n">
        <v>850</v>
      </c>
      <c r="L310" s="25">
        <f>I310*K310</f>
        <v/>
      </c>
      <c r="M310" s="25">
        <f>I310*J310</f>
        <v/>
      </c>
      <c r="N310" s="25">
        <f>L310-M310</f>
        <v/>
      </c>
      <c r="O310" s="26">
        <f>IFERROR(N310/L310,0)</f>
        <v/>
      </c>
      <c r="P310">
        <f>YEAR(A310)</f>
        <v/>
      </c>
      <c r="Q310">
        <f>TEXT(A310,"mmm")</f>
        <v/>
      </c>
      <c r="R310">
        <f>IF(B310&lt;25,"18-24",IF(B310&lt;35,"25-34",IF(B310&lt;45,"35-44","45+")))</f>
        <v/>
      </c>
    </row>
    <row r="311">
      <c r="A311" s="23" t="n">
        <v>44488</v>
      </c>
      <c r="B311" s="3" t="n">
        <v>31</v>
      </c>
      <c r="C311" s="3" t="inlineStr">
        <is>
          <t>M</t>
        </is>
      </c>
      <c r="D311" s="3" t="inlineStr">
        <is>
          <t>Australia</t>
        </is>
      </c>
      <c r="E311" s="3" t="inlineStr">
        <is>
          <t>Victoria</t>
        </is>
      </c>
      <c r="F311" s="3" t="inlineStr">
        <is>
          <t>Road Bikes</t>
        </is>
      </c>
      <c r="G311" s="3" t="inlineStr">
        <is>
          <t>Yellow</t>
        </is>
      </c>
      <c r="H311" s="3" t="inlineStr">
        <is>
          <t>Road-550-W Yellow, 44</t>
        </is>
      </c>
      <c r="I311" s="4" t="n">
        <v>1</v>
      </c>
      <c r="J311" s="24" t="n">
        <v>500</v>
      </c>
      <c r="K311" s="24" t="n">
        <v>800</v>
      </c>
      <c r="L311" s="25">
        <f>I311*K311</f>
        <v/>
      </c>
      <c r="M311" s="25">
        <f>I311*J311</f>
        <v/>
      </c>
      <c r="N311" s="25">
        <f>L311-M311</f>
        <v/>
      </c>
      <c r="O311" s="26">
        <f>IFERROR(N311/L311,0)</f>
        <v/>
      </c>
      <c r="P311">
        <f>YEAR(A311)</f>
        <v/>
      </c>
      <c r="Q311">
        <f>TEXT(A311,"mmm")</f>
        <v/>
      </c>
      <c r="R311">
        <f>IF(B311&lt;25,"18-24",IF(B311&lt;35,"25-34",IF(B311&lt;45,"35-44","45+")))</f>
        <v/>
      </c>
    </row>
    <row r="312">
      <c r="A312" s="23" t="n">
        <v>44494</v>
      </c>
      <c r="B312" s="3" t="n">
        <v>31</v>
      </c>
      <c r="C312" s="3" t="inlineStr">
        <is>
          <t>F</t>
        </is>
      </c>
      <c r="D312" s="3" t="inlineStr">
        <is>
          <t>Australia</t>
        </is>
      </c>
      <c r="E312" s="3" t="inlineStr">
        <is>
          <t>Victoria</t>
        </is>
      </c>
      <c r="F312" s="3" t="inlineStr">
        <is>
          <t>Mountain Bikes</t>
        </is>
      </c>
      <c r="G312" s="3" t="inlineStr">
        <is>
          <t>Black</t>
        </is>
      </c>
      <c r="H312" s="3" t="inlineStr">
        <is>
          <t>Mountain-200 Black, 46</t>
        </is>
      </c>
      <c r="I312" s="4" t="n">
        <v>4</v>
      </c>
      <c r="J312" s="24" t="n">
        <v>550</v>
      </c>
      <c r="K312" s="24" t="n">
        <v>850</v>
      </c>
      <c r="L312" s="25">
        <f>I312*K312</f>
        <v/>
      </c>
      <c r="M312" s="25">
        <f>I312*J312</f>
        <v/>
      </c>
      <c r="N312" s="25">
        <f>L312-M312</f>
        <v/>
      </c>
      <c r="O312" s="26">
        <f>IFERROR(N312/L312,0)</f>
        <v/>
      </c>
      <c r="P312">
        <f>YEAR(A312)</f>
        <v/>
      </c>
      <c r="Q312">
        <f>TEXT(A312,"mmm")</f>
        <v/>
      </c>
      <c r="R312">
        <f>IF(B312&lt;25,"18-24",IF(B312&lt;35,"25-34",IF(B312&lt;45,"35-44","45+")))</f>
        <v/>
      </c>
    </row>
    <row r="313">
      <c r="A313" s="23" t="n">
        <v>44497</v>
      </c>
      <c r="B313" s="3" t="n">
        <v>31</v>
      </c>
      <c r="C313" s="3" t="inlineStr">
        <is>
          <t>M</t>
        </is>
      </c>
      <c r="D313" s="3" t="inlineStr">
        <is>
          <t>Germany</t>
        </is>
      </c>
      <c r="E313" s="3" t="inlineStr">
        <is>
          <t>Hessen</t>
        </is>
      </c>
      <c r="F313" s="3" t="inlineStr">
        <is>
          <t>Road Bikes</t>
        </is>
      </c>
      <c r="G313" s="3" t="inlineStr">
        <is>
          <t>Black</t>
        </is>
      </c>
      <c r="H313" s="3" t="inlineStr">
        <is>
          <t>Road-750 Black, 44</t>
        </is>
      </c>
      <c r="I313" s="4" t="n">
        <v>3</v>
      </c>
      <c r="J313" s="24" t="n">
        <v>700</v>
      </c>
      <c r="K313" s="24" t="n">
        <v>1100</v>
      </c>
      <c r="L313" s="25">
        <f>I313*K313</f>
        <v/>
      </c>
      <c r="M313" s="25">
        <f>I313*J313</f>
        <v/>
      </c>
      <c r="N313" s="25">
        <f>L313-M313</f>
        <v/>
      </c>
      <c r="O313" s="26">
        <f>IFERROR(N313/L313,0)</f>
        <v/>
      </c>
      <c r="P313">
        <f>YEAR(A313)</f>
        <v/>
      </c>
      <c r="Q313">
        <f>TEXT(A313,"mmm")</f>
        <v/>
      </c>
      <c r="R313">
        <f>IF(B313&lt;25,"18-24",IF(B313&lt;35,"25-34",IF(B313&lt;45,"35-44","45+")))</f>
        <v/>
      </c>
    </row>
    <row r="314">
      <c r="A314" s="23" t="n">
        <v>44505</v>
      </c>
      <c r="B314" s="3" t="n">
        <v>31</v>
      </c>
      <c r="C314" s="3" t="inlineStr">
        <is>
          <t>F</t>
        </is>
      </c>
      <c r="D314" s="3" t="inlineStr">
        <is>
          <t>United States</t>
        </is>
      </c>
      <c r="E314" s="3" t="inlineStr">
        <is>
          <t>Oregon</t>
        </is>
      </c>
      <c r="F314" s="3" t="inlineStr">
        <is>
          <t>Road Bikes</t>
        </is>
      </c>
      <c r="G314" s="3" t="inlineStr">
        <is>
          <t>Red</t>
        </is>
      </c>
      <c r="H314" s="3" t="inlineStr">
        <is>
          <t>Road-150 Red, 52</t>
        </is>
      </c>
      <c r="I314" s="4" t="n">
        <v>1</v>
      </c>
      <c r="J314" s="24" t="n">
        <v>900</v>
      </c>
      <c r="K314" s="24" t="n">
        <v>1400</v>
      </c>
      <c r="L314" s="25">
        <f>I314*K314</f>
        <v/>
      </c>
      <c r="M314" s="25">
        <f>I314*J314</f>
        <v/>
      </c>
      <c r="N314" s="25">
        <f>L314-M314</f>
        <v/>
      </c>
      <c r="O314" s="26">
        <f>IFERROR(N314/L314,0)</f>
        <v/>
      </c>
      <c r="P314">
        <f>YEAR(A314)</f>
        <v/>
      </c>
      <c r="Q314">
        <f>TEXT(A314,"mmm")</f>
        <v/>
      </c>
      <c r="R314">
        <f>IF(B314&lt;25,"18-24",IF(B314&lt;35,"25-34",IF(B314&lt;45,"35-44","45+")))</f>
        <v/>
      </c>
    </row>
    <row r="315">
      <c r="A315" s="23" t="n">
        <v>44512</v>
      </c>
      <c r="B315" s="3" t="n">
        <v>31</v>
      </c>
      <c r="C315" s="3" t="inlineStr">
        <is>
          <t>M</t>
        </is>
      </c>
      <c r="D315" s="3" t="inlineStr">
        <is>
          <t>United Kingdom</t>
        </is>
      </c>
      <c r="E315" s="3" t="inlineStr">
        <is>
          <t>England</t>
        </is>
      </c>
      <c r="F315" s="3" t="inlineStr">
        <is>
          <t>Road Bikes</t>
        </is>
      </c>
      <c r="G315" s="3" t="inlineStr">
        <is>
          <t>Yellow</t>
        </is>
      </c>
      <c r="H315" s="3" t="inlineStr">
        <is>
          <t>Road-350-W Yellow, 40</t>
        </is>
      </c>
      <c r="I315" s="4" t="n">
        <v>1</v>
      </c>
      <c r="J315" s="24" t="n">
        <v>530</v>
      </c>
      <c r="K315" s="24" t="n">
        <v>840</v>
      </c>
      <c r="L315" s="25">
        <f>I315*K315</f>
        <v/>
      </c>
      <c r="M315" s="25">
        <f>I315*J315</f>
        <v/>
      </c>
      <c r="N315" s="25">
        <f>L315-M315</f>
        <v/>
      </c>
      <c r="O315" s="26">
        <f>IFERROR(N315/L315,0)</f>
        <v/>
      </c>
      <c r="P315">
        <f>YEAR(A315)</f>
        <v/>
      </c>
      <c r="Q315">
        <f>TEXT(A315,"mmm")</f>
        <v/>
      </c>
      <c r="R315">
        <f>IF(B315&lt;25,"18-24",IF(B315&lt;35,"25-34",IF(B315&lt;45,"35-44","45+")))</f>
        <v/>
      </c>
    </row>
    <row r="316">
      <c r="A316" s="23" t="n">
        <v>44528</v>
      </c>
      <c r="B316" s="3" t="n">
        <v>31</v>
      </c>
      <c r="C316" s="3" t="inlineStr">
        <is>
          <t>M</t>
        </is>
      </c>
      <c r="D316" s="3" t="inlineStr">
        <is>
          <t>United States</t>
        </is>
      </c>
      <c r="E316" s="3" t="inlineStr">
        <is>
          <t>Washington</t>
        </is>
      </c>
      <c r="F316" s="3" t="inlineStr">
        <is>
          <t>Road Bikes</t>
        </is>
      </c>
      <c r="G316" s="3" t="inlineStr">
        <is>
          <t>Black</t>
        </is>
      </c>
      <c r="H316" s="3" t="inlineStr">
        <is>
          <t>Road-650 Black, 48</t>
        </is>
      </c>
      <c r="I316" s="4" t="n">
        <v>1</v>
      </c>
      <c r="J316" s="24" t="n">
        <v>620</v>
      </c>
      <c r="K316" s="24" t="n">
        <v>980</v>
      </c>
      <c r="L316" s="25">
        <f>I316*K316</f>
        <v/>
      </c>
      <c r="M316" s="25">
        <f>I316*J316</f>
        <v/>
      </c>
      <c r="N316" s="25">
        <f>L316-M316</f>
        <v/>
      </c>
      <c r="O316" s="26">
        <f>IFERROR(N316/L316,0)</f>
        <v/>
      </c>
      <c r="P316">
        <f>YEAR(A316)</f>
        <v/>
      </c>
      <c r="Q316">
        <f>TEXT(A316,"mmm")</f>
        <v/>
      </c>
      <c r="R316">
        <f>IF(B316&lt;25,"18-24",IF(B316&lt;35,"25-34",IF(B316&lt;45,"35-44","45+")))</f>
        <v/>
      </c>
    </row>
    <row r="317">
      <c r="A317" s="23" t="n">
        <v>44531</v>
      </c>
      <c r="B317" s="3" t="n">
        <v>31</v>
      </c>
      <c r="C317" s="3" t="inlineStr">
        <is>
          <t>F</t>
        </is>
      </c>
      <c r="D317" s="3" t="inlineStr">
        <is>
          <t>Australia</t>
        </is>
      </c>
      <c r="E317" s="3" t="inlineStr">
        <is>
          <t>South Australia</t>
        </is>
      </c>
      <c r="F317" s="3" t="inlineStr">
        <is>
          <t>Road Bikes</t>
        </is>
      </c>
      <c r="G317" s="3" t="inlineStr">
        <is>
          <t>Black</t>
        </is>
      </c>
      <c r="H317" s="3" t="inlineStr">
        <is>
          <t>Road-250 Black, 48</t>
        </is>
      </c>
      <c r="I317" s="4" t="n">
        <v>1</v>
      </c>
      <c r="J317" s="24" t="n">
        <v>580</v>
      </c>
      <c r="K317" s="24" t="n">
        <v>920</v>
      </c>
      <c r="L317" s="25">
        <f>I317*K317</f>
        <v/>
      </c>
      <c r="M317" s="25">
        <f>I317*J317</f>
        <v/>
      </c>
      <c r="N317" s="25">
        <f>L317-M317</f>
        <v/>
      </c>
      <c r="O317" s="26">
        <f>IFERROR(N317/L317,0)</f>
        <v/>
      </c>
      <c r="P317">
        <f>YEAR(A317)</f>
        <v/>
      </c>
      <c r="Q317">
        <f>TEXT(A317,"mmm")</f>
        <v/>
      </c>
      <c r="R317">
        <f>IF(B317&lt;25,"18-24",IF(B317&lt;35,"25-34",IF(B317&lt;45,"35-44","45+")))</f>
        <v/>
      </c>
    </row>
    <row r="318">
      <c r="A318" s="23" t="n">
        <v>44532</v>
      </c>
      <c r="B318" s="3" t="n">
        <v>31</v>
      </c>
      <c r="C318" s="3" t="inlineStr">
        <is>
          <t>F</t>
        </is>
      </c>
      <c r="D318" s="3" t="inlineStr">
        <is>
          <t>Australia</t>
        </is>
      </c>
      <c r="E318" s="3" t="inlineStr">
        <is>
          <t>New South Wales</t>
        </is>
      </c>
      <c r="F318" s="3" t="inlineStr">
        <is>
          <t>Mountain Bikes</t>
        </is>
      </c>
      <c r="G318" s="3" t="inlineStr">
        <is>
          <t>Silver</t>
        </is>
      </c>
      <c r="H318" s="3" t="inlineStr">
        <is>
          <t>Mountain-400-W Silver, 42</t>
        </is>
      </c>
      <c r="I318" s="4" t="n">
        <v>1</v>
      </c>
      <c r="J318" s="24" t="n">
        <v>450</v>
      </c>
      <c r="K318" s="24" t="n">
        <v>720</v>
      </c>
      <c r="L318" s="25">
        <f>I318*K318</f>
        <v/>
      </c>
      <c r="M318" s="25">
        <f>I318*J318</f>
        <v/>
      </c>
      <c r="N318" s="25">
        <f>L318-M318</f>
        <v/>
      </c>
      <c r="O318" s="26">
        <f>IFERROR(N318/L318,0)</f>
        <v/>
      </c>
      <c r="P318">
        <f>YEAR(A318)</f>
        <v/>
      </c>
      <c r="Q318">
        <f>TEXT(A318,"mmm")</f>
        <v/>
      </c>
      <c r="R318">
        <f>IF(B318&lt;25,"18-24",IF(B318&lt;35,"25-34",IF(B318&lt;45,"35-44","45+")))</f>
        <v/>
      </c>
    </row>
    <row r="319">
      <c r="A319" s="23" t="n">
        <v>44532</v>
      </c>
      <c r="B319" s="3" t="n">
        <v>31</v>
      </c>
      <c r="C319" s="3" t="inlineStr">
        <is>
          <t>F</t>
        </is>
      </c>
      <c r="D319" s="3" t="inlineStr">
        <is>
          <t>United States</t>
        </is>
      </c>
      <c r="E319" s="3" t="inlineStr">
        <is>
          <t>California</t>
        </is>
      </c>
      <c r="F319" s="3" t="inlineStr">
        <is>
          <t>Road Bikes</t>
        </is>
      </c>
      <c r="G319" s="3" t="inlineStr">
        <is>
          <t>Black</t>
        </is>
      </c>
      <c r="H319" s="3" t="inlineStr">
        <is>
          <t>Road-650 Black, 62</t>
        </is>
      </c>
      <c r="I319" s="4" t="n">
        <v>1</v>
      </c>
      <c r="J319" s="24" t="n">
        <v>620</v>
      </c>
      <c r="K319" s="24" t="n">
        <v>980</v>
      </c>
      <c r="L319" s="25">
        <f>I319*K319</f>
        <v/>
      </c>
      <c r="M319" s="25">
        <f>I319*J319</f>
        <v/>
      </c>
      <c r="N319" s="25">
        <f>L319-M319</f>
        <v/>
      </c>
      <c r="O319" s="26">
        <f>IFERROR(N319/L319,0)</f>
        <v/>
      </c>
      <c r="P319">
        <f>YEAR(A319)</f>
        <v/>
      </c>
      <c r="Q319">
        <f>TEXT(A319,"mmm")</f>
        <v/>
      </c>
      <c r="R319">
        <f>IF(B319&lt;25,"18-24",IF(B319&lt;35,"25-34",IF(B319&lt;45,"35-44","45+")))</f>
        <v/>
      </c>
    </row>
    <row r="320">
      <c r="A320" s="23" t="n">
        <v>44533</v>
      </c>
      <c r="B320" s="3" t="n">
        <v>31</v>
      </c>
      <c r="C320" s="3" t="inlineStr">
        <is>
          <t>F</t>
        </is>
      </c>
      <c r="D320" s="3" t="inlineStr">
        <is>
          <t>United States</t>
        </is>
      </c>
      <c r="E320" s="3" t="inlineStr">
        <is>
          <t>California</t>
        </is>
      </c>
      <c r="F320" s="3" t="inlineStr">
        <is>
          <t>Road Bikes</t>
        </is>
      </c>
      <c r="G320" s="3" t="inlineStr">
        <is>
          <t>Black</t>
        </is>
      </c>
      <c r="H320" s="3" t="inlineStr">
        <is>
          <t>Road-650 Black, 62</t>
        </is>
      </c>
      <c r="I320" s="4" t="n">
        <v>4</v>
      </c>
      <c r="J320" s="24" t="n">
        <v>620</v>
      </c>
      <c r="K320" s="24" t="n">
        <v>980</v>
      </c>
      <c r="L320" s="25">
        <f>I320*K320</f>
        <v/>
      </c>
      <c r="M320" s="25">
        <f>I320*J320</f>
        <v/>
      </c>
      <c r="N320" s="25">
        <f>L320-M320</f>
        <v/>
      </c>
      <c r="O320" s="26">
        <f>IFERROR(N320/L320,0)</f>
        <v/>
      </c>
      <c r="P320">
        <f>YEAR(A320)</f>
        <v/>
      </c>
      <c r="Q320">
        <f>TEXT(A320,"mmm")</f>
        <v/>
      </c>
      <c r="R320">
        <f>IF(B320&lt;25,"18-24",IF(B320&lt;35,"25-34",IF(B320&lt;45,"35-44","45+")))</f>
        <v/>
      </c>
    </row>
    <row r="321">
      <c r="A321" s="23" t="n">
        <v>44534</v>
      </c>
      <c r="B321" s="3" t="n">
        <v>31</v>
      </c>
      <c r="C321" s="3" t="inlineStr">
        <is>
          <t>F</t>
        </is>
      </c>
      <c r="D321" s="3" t="inlineStr">
        <is>
          <t>Australia</t>
        </is>
      </c>
      <c r="E321" s="3" t="inlineStr">
        <is>
          <t>New South Wales</t>
        </is>
      </c>
      <c r="F321" s="3" t="inlineStr">
        <is>
          <t>Mountain Bikes</t>
        </is>
      </c>
      <c r="G321" s="3" t="inlineStr">
        <is>
          <t>Silver</t>
        </is>
      </c>
      <c r="H321" s="3" t="inlineStr">
        <is>
          <t>Mountain-400-W Silver, 42</t>
        </is>
      </c>
      <c r="I321" s="4" t="n">
        <v>4</v>
      </c>
      <c r="J321" s="24" t="n">
        <v>450</v>
      </c>
      <c r="K321" s="24" t="n">
        <v>720</v>
      </c>
      <c r="L321" s="25">
        <f>I321*K321</f>
        <v/>
      </c>
      <c r="M321" s="25">
        <f>I321*J321</f>
        <v/>
      </c>
      <c r="N321" s="25">
        <f>L321-M321</f>
        <v/>
      </c>
      <c r="O321" s="26">
        <f>IFERROR(N321/L321,0)</f>
        <v/>
      </c>
      <c r="P321">
        <f>YEAR(A321)</f>
        <v/>
      </c>
      <c r="Q321">
        <f>TEXT(A321,"mmm")</f>
        <v/>
      </c>
      <c r="R321">
        <f>IF(B321&lt;25,"18-24",IF(B321&lt;35,"25-34",IF(B321&lt;45,"35-44","45+")))</f>
        <v/>
      </c>
    </row>
    <row r="322">
      <c r="A322" s="23" t="n">
        <v>44547</v>
      </c>
      <c r="B322" s="3" t="n">
        <v>31</v>
      </c>
      <c r="C322" s="3" t="inlineStr">
        <is>
          <t>M</t>
        </is>
      </c>
      <c r="D322" s="3" t="inlineStr">
        <is>
          <t>Australia</t>
        </is>
      </c>
      <c r="E322" s="3" t="inlineStr">
        <is>
          <t>New South Wales</t>
        </is>
      </c>
      <c r="F322" s="3" t="inlineStr">
        <is>
          <t>Mountain Bikes</t>
        </is>
      </c>
      <c r="G322" s="3" t="inlineStr">
        <is>
          <t>Silver</t>
        </is>
      </c>
      <c r="H322" s="3" t="inlineStr">
        <is>
          <t>Mountain-400-W Silver, 42</t>
        </is>
      </c>
      <c r="I322" s="4" t="n">
        <v>1</v>
      </c>
      <c r="J322" s="24" t="n">
        <v>450</v>
      </c>
      <c r="K322" s="24" t="n">
        <v>720</v>
      </c>
      <c r="L322" s="25">
        <f>I322*K322</f>
        <v/>
      </c>
      <c r="M322" s="25">
        <f>I322*J322</f>
        <v/>
      </c>
      <c r="N322" s="25">
        <f>L322-M322</f>
        <v/>
      </c>
      <c r="O322" s="26">
        <f>IFERROR(N322/L322,0)</f>
        <v/>
      </c>
      <c r="P322">
        <f>YEAR(A322)</f>
        <v/>
      </c>
      <c r="Q322">
        <f>TEXT(A322,"mmm")</f>
        <v/>
      </c>
      <c r="R322">
        <f>IF(B322&lt;25,"18-24",IF(B322&lt;35,"25-34",IF(B322&lt;45,"35-44","45+")))</f>
        <v/>
      </c>
    </row>
    <row r="323">
      <c r="A323" s="23" t="n">
        <v>44553</v>
      </c>
      <c r="B323" s="3" t="n">
        <v>31</v>
      </c>
      <c r="C323" s="3" t="inlineStr">
        <is>
          <t>F</t>
        </is>
      </c>
      <c r="D323" s="3" t="inlineStr">
        <is>
          <t>Canada</t>
        </is>
      </c>
      <c r="E323" s="3" t="inlineStr">
        <is>
          <t>British Columbia</t>
        </is>
      </c>
      <c r="F323" s="3" t="inlineStr">
        <is>
          <t>Mountain Bikes</t>
        </is>
      </c>
      <c r="G323" s="3" t="inlineStr">
        <is>
          <t>Black</t>
        </is>
      </c>
      <c r="H323" s="3" t="inlineStr">
        <is>
          <t>Mountain-200 Black, 42</t>
        </is>
      </c>
      <c r="I323" s="4" t="n">
        <v>1</v>
      </c>
      <c r="J323" s="24" t="n">
        <v>550</v>
      </c>
      <c r="K323" s="24" t="n">
        <v>850</v>
      </c>
      <c r="L323" s="25">
        <f>I323*K323</f>
        <v/>
      </c>
      <c r="M323" s="25">
        <f>I323*J323</f>
        <v/>
      </c>
      <c r="N323" s="25">
        <f>L323-M323</f>
        <v/>
      </c>
      <c r="O323" s="26">
        <f>IFERROR(N323/L323,0)</f>
        <v/>
      </c>
      <c r="P323">
        <f>YEAR(A323)</f>
        <v/>
      </c>
      <c r="Q323">
        <f>TEXT(A323,"mmm")</f>
        <v/>
      </c>
      <c r="R323">
        <f>IF(B323&lt;25,"18-24",IF(B323&lt;35,"25-34",IF(B323&lt;45,"35-44","45+")))</f>
        <v/>
      </c>
    </row>
    <row r="324">
      <c r="A324" s="23" t="n">
        <v>44555</v>
      </c>
      <c r="B324" s="3" t="n">
        <v>31</v>
      </c>
      <c r="C324" s="3" t="inlineStr">
        <is>
          <t>M</t>
        </is>
      </c>
      <c r="D324" s="3" t="inlineStr">
        <is>
          <t>United Kingdom</t>
        </is>
      </c>
      <c r="E324" s="3" t="inlineStr">
        <is>
          <t>England</t>
        </is>
      </c>
      <c r="F324" s="3" t="inlineStr">
        <is>
          <t>Road Bikes</t>
        </is>
      </c>
      <c r="G324" s="3" t="inlineStr">
        <is>
          <t>Yellow</t>
        </is>
      </c>
      <c r="H324" s="3" t="inlineStr">
        <is>
          <t>Road-350-W Yellow, 40</t>
        </is>
      </c>
      <c r="I324" s="4" t="n">
        <v>4</v>
      </c>
      <c r="J324" s="24" t="n">
        <v>530</v>
      </c>
      <c r="K324" s="24" t="n">
        <v>840</v>
      </c>
      <c r="L324" s="25">
        <f>I324*K324</f>
        <v/>
      </c>
      <c r="M324" s="25">
        <f>I324*J324</f>
        <v/>
      </c>
      <c r="N324" s="25">
        <f>L324-M324</f>
        <v/>
      </c>
      <c r="O324" s="26">
        <f>IFERROR(N324/L324,0)</f>
        <v/>
      </c>
      <c r="P324">
        <f>YEAR(A324)</f>
        <v/>
      </c>
      <c r="Q324">
        <f>TEXT(A324,"mmm")</f>
        <v/>
      </c>
      <c r="R324">
        <f>IF(B324&lt;25,"18-24",IF(B324&lt;35,"25-34",IF(B324&lt;45,"35-44","45+")))</f>
        <v/>
      </c>
    </row>
    <row r="325">
      <c r="A325" s="23" t="n">
        <v>44558</v>
      </c>
      <c r="B325" s="3" t="n">
        <v>31</v>
      </c>
      <c r="C325" s="3" t="inlineStr">
        <is>
          <t>M</t>
        </is>
      </c>
      <c r="D325" s="3" t="inlineStr">
        <is>
          <t>Australia</t>
        </is>
      </c>
      <c r="E325" s="3" t="inlineStr">
        <is>
          <t>New South Wales</t>
        </is>
      </c>
      <c r="F325" s="3" t="inlineStr">
        <is>
          <t>Mountain Bikes</t>
        </is>
      </c>
      <c r="G325" s="3" t="inlineStr">
        <is>
          <t>Silver</t>
        </is>
      </c>
      <c r="H325" s="3" t="inlineStr">
        <is>
          <t>Mountain-400-W Silver, 42</t>
        </is>
      </c>
      <c r="I325" s="4" t="n">
        <v>3</v>
      </c>
      <c r="J325" s="24" t="n">
        <v>450</v>
      </c>
      <c r="K325" s="24" t="n">
        <v>720</v>
      </c>
      <c r="L325" s="25">
        <f>I325*K325</f>
        <v/>
      </c>
      <c r="M325" s="25">
        <f>I325*J325</f>
        <v/>
      </c>
      <c r="N325" s="25">
        <f>L325-M325</f>
        <v/>
      </c>
      <c r="O325" s="26">
        <f>IFERROR(N325/L325,0)</f>
        <v/>
      </c>
      <c r="P325">
        <f>YEAR(A325)</f>
        <v/>
      </c>
      <c r="Q325">
        <f>TEXT(A325,"mmm")</f>
        <v/>
      </c>
      <c r="R325">
        <f>IF(B325&lt;25,"18-24",IF(B325&lt;35,"25-34",IF(B325&lt;45,"35-44","45+")))</f>
        <v/>
      </c>
    </row>
    <row r="326">
      <c r="A326" s="23" t="n">
        <v>44475</v>
      </c>
      <c r="B326" s="3" t="n">
        <v>32</v>
      </c>
      <c r="C326" s="3" t="inlineStr">
        <is>
          <t>F</t>
        </is>
      </c>
      <c r="D326" s="3" t="inlineStr">
        <is>
          <t>United States</t>
        </is>
      </c>
      <c r="E326" s="3" t="inlineStr">
        <is>
          <t>Washington</t>
        </is>
      </c>
      <c r="F326" s="3" t="inlineStr">
        <is>
          <t>Mountain Bikes</t>
        </is>
      </c>
      <c r="G326" s="3" t="inlineStr">
        <is>
          <t>Black</t>
        </is>
      </c>
      <c r="H326" s="3" t="inlineStr">
        <is>
          <t>Mountain-200 Black, 38</t>
        </is>
      </c>
      <c r="I326" s="4" t="n">
        <v>3</v>
      </c>
      <c r="J326" s="24" t="n">
        <v>550</v>
      </c>
      <c r="K326" s="24" t="n">
        <v>850</v>
      </c>
      <c r="L326" s="25">
        <f>I326*K326</f>
        <v/>
      </c>
      <c r="M326" s="25">
        <f>I326*J326</f>
        <v/>
      </c>
      <c r="N326" s="25">
        <f>L326-M326</f>
        <v/>
      </c>
      <c r="O326" s="26">
        <f>IFERROR(N326/L326,0)</f>
        <v/>
      </c>
      <c r="P326">
        <f>YEAR(A326)</f>
        <v/>
      </c>
      <c r="Q326">
        <f>TEXT(A326,"mmm")</f>
        <v/>
      </c>
      <c r="R326">
        <f>IF(B326&lt;25,"18-24",IF(B326&lt;35,"25-34",IF(B326&lt;45,"35-44","45+")))</f>
        <v/>
      </c>
    </row>
    <row r="327">
      <c r="A327" s="23" t="n">
        <v>44476</v>
      </c>
      <c r="B327" s="3" t="n">
        <v>32</v>
      </c>
      <c r="C327" s="3" t="inlineStr">
        <is>
          <t>F</t>
        </is>
      </c>
      <c r="D327" s="3" t="inlineStr">
        <is>
          <t>Australia</t>
        </is>
      </c>
      <c r="E327" s="3" t="inlineStr">
        <is>
          <t>Queensland</t>
        </is>
      </c>
      <c r="F327" s="3" t="inlineStr">
        <is>
          <t>Mountain Bikes</t>
        </is>
      </c>
      <c r="G327" s="3" t="inlineStr">
        <is>
          <t>Silver</t>
        </is>
      </c>
      <c r="H327" s="3" t="inlineStr">
        <is>
          <t>Mountain-200 Silver, 42</t>
        </is>
      </c>
      <c r="I327" s="4" t="n">
        <v>3</v>
      </c>
      <c r="J327" s="24" t="n">
        <v>550</v>
      </c>
      <c r="K327" s="24" t="n">
        <v>850</v>
      </c>
      <c r="L327" s="25">
        <f>I327*K327</f>
        <v/>
      </c>
      <c r="M327" s="25">
        <f>I327*J327</f>
        <v/>
      </c>
      <c r="N327" s="25">
        <f>L327-M327</f>
        <v/>
      </c>
      <c r="O327" s="26">
        <f>IFERROR(N327/L327,0)</f>
        <v/>
      </c>
      <c r="P327">
        <f>YEAR(A327)</f>
        <v/>
      </c>
      <c r="Q327">
        <f>TEXT(A327,"mmm")</f>
        <v/>
      </c>
      <c r="R327">
        <f>IF(B327&lt;25,"18-24",IF(B327&lt;35,"25-34",IF(B327&lt;45,"35-44","45+")))</f>
        <v/>
      </c>
    </row>
    <row r="328">
      <c r="A328" s="23" t="n">
        <v>44481</v>
      </c>
      <c r="B328" s="3" t="n">
        <v>32</v>
      </c>
      <c r="C328" s="3" t="inlineStr">
        <is>
          <t>F</t>
        </is>
      </c>
      <c r="D328" s="3" t="inlineStr">
        <is>
          <t>France</t>
        </is>
      </c>
      <c r="E328" s="3" t="inlineStr">
        <is>
          <t>Nord</t>
        </is>
      </c>
      <c r="F328" s="3" t="inlineStr">
        <is>
          <t>Road Bikes</t>
        </is>
      </c>
      <c r="G328" s="3" t="inlineStr">
        <is>
          <t>Red</t>
        </is>
      </c>
      <c r="H328" s="3" t="inlineStr">
        <is>
          <t>Road-150 Red, 44</t>
        </is>
      </c>
      <c r="I328" s="4" t="n">
        <v>1</v>
      </c>
      <c r="J328" s="24" t="n">
        <v>900</v>
      </c>
      <c r="K328" s="24" t="n">
        <v>1400</v>
      </c>
      <c r="L328" s="25">
        <f>I328*K328</f>
        <v/>
      </c>
      <c r="M328" s="25">
        <f>I328*J328</f>
        <v/>
      </c>
      <c r="N328" s="25">
        <f>L328-M328</f>
        <v/>
      </c>
      <c r="O328" s="26">
        <f>IFERROR(N328/L328,0)</f>
        <v/>
      </c>
      <c r="P328">
        <f>YEAR(A328)</f>
        <v/>
      </c>
      <c r="Q328">
        <f>TEXT(A328,"mmm")</f>
        <v/>
      </c>
      <c r="R328">
        <f>IF(B328&lt;25,"18-24",IF(B328&lt;35,"25-34",IF(B328&lt;45,"35-44","45+")))</f>
        <v/>
      </c>
    </row>
    <row r="329">
      <c r="A329" s="23" t="n">
        <v>44482</v>
      </c>
      <c r="B329" s="3" t="n">
        <v>32</v>
      </c>
      <c r="C329" s="3" t="inlineStr">
        <is>
          <t>M</t>
        </is>
      </c>
      <c r="D329" s="3" t="inlineStr">
        <is>
          <t>United States</t>
        </is>
      </c>
      <c r="E329" s="3" t="inlineStr">
        <is>
          <t>Oregon</t>
        </is>
      </c>
      <c r="F329" s="3" t="inlineStr">
        <is>
          <t>Road Bikes</t>
        </is>
      </c>
      <c r="G329" s="3" t="inlineStr">
        <is>
          <t>Black</t>
        </is>
      </c>
      <c r="H329" s="3" t="inlineStr">
        <is>
          <t>Road-750 Black, 52</t>
        </is>
      </c>
      <c r="I329" s="4" t="n">
        <v>2</v>
      </c>
      <c r="J329" s="24" t="n">
        <v>700</v>
      </c>
      <c r="K329" s="24" t="n">
        <v>1100</v>
      </c>
      <c r="L329" s="25">
        <f>I329*K329</f>
        <v/>
      </c>
      <c r="M329" s="25">
        <f>I329*J329</f>
        <v/>
      </c>
      <c r="N329" s="25">
        <f>L329-M329</f>
        <v/>
      </c>
      <c r="O329" s="26">
        <f>IFERROR(N329/L329,0)</f>
        <v/>
      </c>
      <c r="P329">
        <f>YEAR(A329)</f>
        <v/>
      </c>
      <c r="Q329">
        <f>TEXT(A329,"mmm")</f>
        <v/>
      </c>
      <c r="R329">
        <f>IF(B329&lt;25,"18-24",IF(B329&lt;35,"25-34",IF(B329&lt;45,"35-44","45+")))</f>
        <v/>
      </c>
    </row>
    <row r="330">
      <c r="A330" s="23" t="n">
        <v>44490</v>
      </c>
      <c r="B330" s="3" t="n">
        <v>32</v>
      </c>
      <c r="C330" s="3" t="inlineStr">
        <is>
          <t>F</t>
        </is>
      </c>
      <c r="D330" s="3" t="inlineStr">
        <is>
          <t>Australia</t>
        </is>
      </c>
      <c r="E330" s="3" t="inlineStr">
        <is>
          <t>New South Wales</t>
        </is>
      </c>
      <c r="F330" s="3" t="inlineStr">
        <is>
          <t>Mountain Bikes</t>
        </is>
      </c>
      <c r="G330" s="3" t="inlineStr">
        <is>
          <t>Silver</t>
        </is>
      </c>
      <c r="H330" s="3" t="inlineStr">
        <is>
          <t>Mountain-400-W Silver, 40</t>
        </is>
      </c>
      <c r="I330" s="4" t="n">
        <v>1</v>
      </c>
      <c r="J330" s="24" t="n">
        <v>450</v>
      </c>
      <c r="K330" s="24" t="n">
        <v>720</v>
      </c>
      <c r="L330" s="25">
        <f>I330*K330</f>
        <v/>
      </c>
      <c r="M330" s="25">
        <f>I330*J330</f>
        <v/>
      </c>
      <c r="N330" s="25">
        <f>L330-M330</f>
        <v/>
      </c>
      <c r="O330" s="26">
        <f>IFERROR(N330/L330,0)</f>
        <v/>
      </c>
      <c r="P330">
        <f>YEAR(A330)</f>
        <v/>
      </c>
      <c r="Q330">
        <f>TEXT(A330,"mmm")</f>
        <v/>
      </c>
      <c r="R330">
        <f>IF(B330&lt;25,"18-24",IF(B330&lt;35,"25-34",IF(B330&lt;45,"35-44","45+")))</f>
        <v/>
      </c>
    </row>
    <row r="331">
      <c r="A331" s="23" t="n">
        <v>44490</v>
      </c>
      <c r="B331" s="3" t="n">
        <v>32</v>
      </c>
      <c r="C331" s="3" t="inlineStr">
        <is>
          <t>F</t>
        </is>
      </c>
      <c r="D331" s="3" t="inlineStr">
        <is>
          <t>Australia</t>
        </is>
      </c>
      <c r="E331" s="3" t="inlineStr">
        <is>
          <t>Victoria</t>
        </is>
      </c>
      <c r="F331" s="3" t="inlineStr">
        <is>
          <t>Mountain Bikes</t>
        </is>
      </c>
      <c r="G331" s="3" t="inlineStr">
        <is>
          <t>Silver</t>
        </is>
      </c>
      <c r="H331" s="3" t="inlineStr">
        <is>
          <t>Mountain-400-W Silver, 46</t>
        </is>
      </c>
      <c r="I331" s="4" t="n">
        <v>1</v>
      </c>
      <c r="J331" s="24" t="n">
        <v>450</v>
      </c>
      <c r="K331" s="24" t="n">
        <v>720</v>
      </c>
      <c r="L331" s="25">
        <f>I331*K331</f>
        <v/>
      </c>
      <c r="M331" s="25">
        <f>I331*J331</f>
        <v/>
      </c>
      <c r="N331" s="25">
        <f>L331-M331</f>
        <v/>
      </c>
      <c r="O331" s="26">
        <f>IFERROR(N331/L331,0)</f>
        <v/>
      </c>
      <c r="P331">
        <f>YEAR(A331)</f>
        <v/>
      </c>
      <c r="Q331">
        <f>TEXT(A331,"mmm")</f>
        <v/>
      </c>
      <c r="R331">
        <f>IF(B331&lt;25,"18-24",IF(B331&lt;35,"25-34",IF(B331&lt;45,"35-44","45+")))</f>
        <v/>
      </c>
    </row>
    <row r="332">
      <c r="A332" s="23" t="n">
        <v>44491</v>
      </c>
      <c r="B332" s="3" t="n">
        <v>32</v>
      </c>
      <c r="C332" s="3" t="inlineStr">
        <is>
          <t>M</t>
        </is>
      </c>
      <c r="D332" s="3" t="inlineStr">
        <is>
          <t>Germany</t>
        </is>
      </c>
      <c r="E332" s="3" t="inlineStr">
        <is>
          <t>Hamburg</t>
        </is>
      </c>
      <c r="F332" s="3" t="inlineStr">
        <is>
          <t>Road Bikes</t>
        </is>
      </c>
      <c r="G332" s="3" t="inlineStr">
        <is>
          <t>Black</t>
        </is>
      </c>
      <c r="H332" s="3" t="inlineStr">
        <is>
          <t>Road-250 Black, 58</t>
        </is>
      </c>
      <c r="I332" s="4" t="n">
        <v>3</v>
      </c>
      <c r="J332" s="24" t="n">
        <v>580</v>
      </c>
      <c r="K332" s="24" t="n">
        <v>920</v>
      </c>
      <c r="L332" s="25">
        <f>I332*K332</f>
        <v/>
      </c>
      <c r="M332" s="25">
        <f>I332*J332</f>
        <v/>
      </c>
      <c r="N332" s="25">
        <f>L332-M332</f>
        <v/>
      </c>
      <c r="O332" s="26">
        <f>IFERROR(N332/L332,0)</f>
        <v/>
      </c>
      <c r="P332">
        <f>YEAR(A332)</f>
        <v/>
      </c>
      <c r="Q332">
        <f>TEXT(A332,"mmm")</f>
        <v/>
      </c>
      <c r="R332">
        <f>IF(B332&lt;25,"18-24",IF(B332&lt;35,"25-34",IF(B332&lt;45,"35-44","45+")))</f>
        <v/>
      </c>
    </row>
    <row r="333">
      <c r="A333" s="23" t="n">
        <v>44491</v>
      </c>
      <c r="B333" s="3" t="n">
        <v>32</v>
      </c>
      <c r="C333" s="3" t="inlineStr">
        <is>
          <t>F</t>
        </is>
      </c>
      <c r="D333" s="3" t="inlineStr">
        <is>
          <t>United States</t>
        </is>
      </c>
      <c r="E333" s="3" t="inlineStr">
        <is>
          <t>California</t>
        </is>
      </c>
      <c r="F333" s="3" t="inlineStr">
        <is>
          <t>Mountain Bikes</t>
        </is>
      </c>
      <c r="G333" s="3" t="inlineStr">
        <is>
          <t>Silver</t>
        </is>
      </c>
      <c r="H333" s="3" t="inlineStr">
        <is>
          <t>Mountain-200 Silver, 46</t>
        </is>
      </c>
      <c r="I333" s="4" t="n">
        <v>1</v>
      </c>
      <c r="J333" s="24" t="n">
        <v>550</v>
      </c>
      <c r="K333" s="24" t="n">
        <v>850</v>
      </c>
      <c r="L333" s="25">
        <f>I333*K333</f>
        <v/>
      </c>
      <c r="M333" s="25">
        <f>I333*J333</f>
        <v/>
      </c>
      <c r="N333" s="25">
        <f>L333-M333</f>
        <v/>
      </c>
      <c r="O333" s="26">
        <f>IFERROR(N333/L333,0)</f>
        <v/>
      </c>
      <c r="P333">
        <f>YEAR(A333)</f>
        <v/>
      </c>
      <c r="Q333">
        <f>TEXT(A333,"mmm")</f>
        <v/>
      </c>
      <c r="R333">
        <f>IF(B333&lt;25,"18-24",IF(B333&lt;35,"25-34",IF(B333&lt;45,"35-44","45+")))</f>
        <v/>
      </c>
    </row>
    <row r="334">
      <c r="A334" s="23" t="n">
        <v>44494</v>
      </c>
      <c r="B334" s="3" t="n">
        <v>32</v>
      </c>
      <c r="C334" s="3" t="inlineStr">
        <is>
          <t>F</t>
        </is>
      </c>
      <c r="D334" s="3" t="inlineStr">
        <is>
          <t>United States</t>
        </is>
      </c>
      <c r="E334" s="3" t="inlineStr">
        <is>
          <t>California</t>
        </is>
      </c>
      <c r="F334" s="3" t="inlineStr">
        <is>
          <t>Mountain Bikes</t>
        </is>
      </c>
      <c r="G334" s="3" t="inlineStr">
        <is>
          <t>Silver</t>
        </is>
      </c>
      <c r="H334" s="3" t="inlineStr">
        <is>
          <t>Mountain-200 Silver, 46</t>
        </is>
      </c>
      <c r="I334" s="4" t="n">
        <v>4</v>
      </c>
      <c r="J334" s="24" t="n">
        <v>550</v>
      </c>
      <c r="K334" s="24" t="n">
        <v>850</v>
      </c>
      <c r="L334" s="25">
        <f>I334*K334</f>
        <v/>
      </c>
      <c r="M334" s="25">
        <f>I334*J334</f>
        <v/>
      </c>
      <c r="N334" s="25">
        <f>L334-M334</f>
        <v/>
      </c>
      <c r="O334" s="26">
        <f>IFERROR(N334/L334,0)</f>
        <v/>
      </c>
      <c r="P334">
        <f>YEAR(A334)</f>
        <v/>
      </c>
      <c r="Q334">
        <f>TEXT(A334,"mmm")</f>
        <v/>
      </c>
      <c r="R334">
        <f>IF(B334&lt;25,"18-24",IF(B334&lt;35,"25-34",IF(B334&lt;45,"35-44","45+")))</f>
        <v/>
      </c>
    </row>
    <row r="335">
      <c r="A335" s="23" t="n">
        <v>44495</v>
      </c>
      <c r="B335" s="3" t="n">
        <v>32</v>
      </c>
      <c r="C335" s="3" t="inlineStr">
        <is>
          <t>M</t>
        </is>
      </c>
      <c r="D335" s="3" t="inlineStr">
        <is>
          <t>France</t>
        </is>
      </c>
      <c r="E335" s="3" t="inlineStr">
        <is>
          <t>Seine (Paris)</t>
        </is>
      </c>
      <c r="F335" s="3" t="inlineStr">
        <is>
          <t>Road Bikes</t>
        </is>
      </c>
      <c r="G335" s="3" t="inlineStr">
        <is>
          <t>Red</t>
        </is>
      </c>
      <c r="H335" s="3" t="inlineStr">
        <is>
          <t>Road-150 Red, 48</t>
        </is>
      </c>
      <c r="I335" s="4" t="n">
        <v>1</v>
      </c>
      <c r="J335" s="24" t="n">
        <v>900</v>
      </c>
      <c r="K335" s="24" t="n">
        <v>1400</v>
      </c>
      <c r="L335" s="25">
        <f>I335*K335</f>
        <v/>
      </c>
      <c r="M335" s="25">
        <f>I335*J335</f>
        <v/>
      </c>
      <c r="N335" s="25">
        <f>L335-M335</f>
        <v/>
      </c>
      <c r="O335" s="26">
        <f>IFERROR(N335/L335,0)</f>
        <v/>
      </c>
      <c r="P335">
        <f>YEAR(A335)</f>
        <v/>
      </c>
      <c r="Q335">
        <f>TEXT(A335,"mmm")</f>
        <v/>
      </c>
      <c r="R335">
        <f>IF(B335&lt;25,"18-24",IF(B335&lt;35,"25-34",IF(B335&lt;45,"35-44","45+")))</f>
        <v/>
      </c>
    </row>
    <row r="336">
      <c r="A336" s="23" t="n">
        <v>44498</v>
      </c>
      <c r="B336" s="3" t="n">
        <v>32</v>
      </c>
      <c r="C336" s="3" t="inlineStr">
        <is>
          <t>F</t>
        </is>
      </c>
      <c r="D336" s="3" t="inlineStr">
        <is>
          <t>Australia</t>
        </is>
      </c>
      <c r="E336" s="3" t="inlineStr">
        <is>
          <t>Queensland</t>
        </is>
      </c>
      <c r="F336" s="3" t="inlineStr">
        <is>
          <t>Mountain Bikes</t>
        </is>
      </c>
      <c r="G336" s="3" t="inlineStr">
        <is>
          <t>Silver</t>
        </is>
      </c>
      <c r="H336" s="3" t="inlineStr">
        <is>
          <t>Mountain-200 Silver, 42</t>
        </is>
      </c>
      <c r="I336" s="4" t="n">
        <v>2</v>
      </c>
      <c r="J336" s="24" t="n">
        <v>550</v>
      </c>
      <c r="K336" s="24" t="n">
        <v>850</v>
      </c>
      <c r="L336" s="25">
        <f>I336*K336</f>
        <v/>
      </c>
      <c r="M336" s="25">
        <f>I336*J336</f>
        <v/>
      </c>
      <c r="N336" s="25">
        <f>L336-M336</f>
        <v/>
      </c>
      <c r="O336" s="26">
        <f>IFERROR(N336/L336,0)</f>
        <v/>
      </c>
      <c r="P336">
        <f>YEAR(A336)</f>
        <v/>
      </c>
      <c r="Q336">
        <f>TEXT(A336,"mmm")</f>
        <v/>
      </c>
      <c r="R336">
        <f>IF(B336&lt;25,"18-24",IF(B336&lt;35,"25-34",IF(B336&lt;45,"35-44","45+")))</f>
        <v/>
      </c>
    </row>
    <row r="337">
      <c r="A337" s="23" t="n">
        <v>44498</v>
      </c>
      <c r="B337" s="3" t="n">
        <v>32</v>
      </c>
      <c r="C337" s="3" t="inlineStr">
        <is>
          <t>M</t>
        </is>
      </c>
      <c r="D337" s="3" t="inlineStr">
        <is>
          <t>Australia</t>
        </is>
      </c>
      <c r="E337" s="3" t="inlineStr">
        <is>
          <t>Queensland</t>
        </is>
      </c>
      <c r="F337" s="3" t="inlineStr">
        <is>
          <t>Road Bikes</t>
        </is>
      </c>
      <c r="G337" s="3" t="inlineStr">
        <is>
          <t>Yellow</t>
        </is>
      </c>
      <c r="H337" s="3" t="inlineStr">
        <is>
          <t>Road-350-W Yellow, 42</t>
        </is>
      </c>
      <c r="I337" s="4" t="n">
        <v>1</v>
      </c>
      <c r="J337" s="24" t="n">
        <v>530</v>
      </c>
      <c r="K337" s="24" t="n">
        <v>840</v>
      </c>
      <c r="L337" s="25">
        <f>I337*K337</f>
        <v/>
      </c>
      <c r="M337" s="25">
        <f>I337*J337</f>
        <v/>
      </c>
      <c r="N337" s="25">
        <f>L337-M337</f>
        <v/>
      </c>
      <c r="O337" s="26">
        <f>IFERROR(N337/L337,0)</f>
        <v/>
      </c>
      <c r="P337">
        <f>YEAR(A337)</f>
        <v/>
      </c>
      <c r="Q337">
        <f>TEXT(A337,"mmm")</f>
        <v/>
      </c>
      <c r="R337">
        <f>IF(B337&lt;25,"18-24",IF(B337&lt;35,"25-34",IF(B337&lt;45,"35-44","45+")))</f>
        <v/>
      </c>
    </row>
    <row r="338">
      <c r="A338" s="23" t="n">
        <v>44500</v>
      </c>
      <c r="B338" s="3" t="n">
        <v>32</v>
      </c>
      <c r="C338" s="3" t="inlineStr">
        <is>
          <t>F</t>
        </is>
      </c>
      <c r="D338" s="3" t="inlineStr">
        <is>
          <t>Germany</t>
        </is>
      </c>
      <c r="E338" s="3" t="inlineStr">
        <is>
          <t>Hamburg</t>
        </is>
      </c>
      <c r="F338" s="3" t="inlineStr">
        <is>
          <t>Road Bikes</t>
        </is>
      </c>
      <c r="G338" s="3" t="inlineStr">
        <is>
          <t>Black</t>
        </is>
      </c>
      <c r="H338" s="3" t="inlineStr">
        <is>
          <t>Road-250 Black, 44</t>
        </is>
      </c>
      <c r="I338" s="4" t="n">
        <v>1</v>
      </c>
      <c r="J338" s="24" t="n">
        <v>580</v>
      </c>
      <c r="K338" s="24" t="n">
        <v>920</v>
      </c>
      <c r="L338" s="25">
        <f>I338*K338</f>
        <v/>
      </c>
      <c r="M338" s="25">
        <f>I338*J338</f>
        <v/>
      </c>
      <c r="N338" s="25">
        <f>L338-M338</f>
        <v/>
      </c>
      <c r="O338" s="26">
        <f>IFERROR(N338/L338,0)</f>
        <v/>
      </c>
      <c r="P338">
        <f>YEAR(A338)</f>
        <v/>
      </c>
      <c r="Q338">
        <f>TEXT(A338,"mmm")</f>
        <v/>
      </c>
      <c r="R338">
        <f>IF(B338&lt;25,"18-24",IF(B338&lt;35,"25-34",IF(B338&lt;45,"35-44","45+")))</f>
        <v/>
      </c>
    </row>
    <row r="339">
      <c r="A339" s="23" t="n">
        <v>44521</v>
      </c>
      <c r="B339" s="3" t="n">
        <v>32</v>
      </c>
      <c r="C339" s="3" t="inlineStr">
        <is>
          <t>F</t>
        </is>
      </c>
      <c r="D339" s="3" t="inlineStr">
        <is>
          <t>Germany</t>
        </is>
      </c>
      <c r="E339" s="3" t="inlineStr">
        <is>
          <t>Saarland</t>
        </is>
      </c>
      <c r="F339" s="3" t="inlineStr">
        <is>
          <t>Road Bikes</t>
        </is>
      </c>
      <c r="G339" s="3" t="inlineStr">
        <is>
          <t>Red</t>
        </is>
      </c>
      <c r="H339" s="3" t="inlineStr">
        <is>
          <t>Road-150 Red, 56</t>
        </is>
      </c>
      <c r="I339" s="4" t="n">
        <v>4</v>
      </c>
      <c r="J339" s="24" t="n">
        <v>900</v>
      </c>
      <c r="K339" s="24" t="n">
        <v>1400</v>
      </c>
      <c r="L339" s="25">
        <f>I339*K339</f>
        <v/>
      </c>
      <c r="M339" s="25">
        <f>I339*J339</f>
        <v/>
      </c>
      <c r="N339" s="25">
        <f>L339-M339</f>
        <v/>
      </c>
      <c r="O339" s="26">
        <f>IFERROR(N339/L339,0)</f>
        <v/>
      </c>
      <c r="P339">
        <f>YEAR(A339)</f>
        <v/>
      </c>
      <c r="Q339">
        <f>TEXT(A339,"mmm")</f>
        <v/>
      </c>
      <c r="R339">
        <f>IF(B339&lt;25,"18-24",IF(B339&lt;35,"25-34",IF(B339&lt;45,"35-44","45+")))</f>
        <v/>
      </c>
    </row>
    <row r="340">
      <c r="A340" s="23" t="n">
        <v>44522</v>
      </c>
      <c r="B340" s="3" t="n">
        <v>32</v>
      </c>
      <c r="C340" s="3" t="inlineStr">
        <is>
          <t>F</t>
        </is>
      </c>
      <c r="D340" s="3" t="inlineStr">
        <is>
          <t>United States</t>
        </is>
      </c>
      <c r="E340" s="3" t="inlineStr">
        <is>
          <t>California</t>
        </is>
      </c>
      <c r="F340" s="3" t="inlineStr">
        <is>
          <t>Road Bikes</t>
        </is>
      </c>
      <c r="G340" s="3" t="inlineStr">
        <is>
          <t>Red</t>
        </is>
      </c>
      <c r="H340" s="3" t="inlineStr">
        <is>
          <t>Road-650 Red, 62</t>
        </is>
      </c>
      <c r="I340" s="4" t="n">
        <v>1</v>
      </c>
      <c r="J340" s="24" t="n">
        <v>620</v>
      </c>
      <c r="K340" s="24" t="n">
        <v>980</v>
      </c>
      <c r="L340" s="25">
        <f>I340*K340</f>
        <v/>
      </c>
      <c r="M340" s="25">
        <f>I340*J340</f>
        <v/>
      </c>
      <c r="N340" s="25">
        <f>L340-M340</f>
        <v/>
      </c>
      <c r="O340" s="26">
        <f>IFERROR(N340/L340,0)</f>
        <v/>
      </c>
      <c r="P340">
        <f>YEAR(A340)</f>
        <v/>
      </c>
      <c r="Q340">
        <f>TEXT(A340,"mmm")</f>
        <v/>
      </c>
      <c r="R340">
        <f>IF(B340&lt;25,"18-24",IF(B340&lt;35,"25-34",IF(B340&lt;45,"35-44","45+")))</f>
        <v/>
      </c>
    </row>
    <row r="341">
      <c r="A341" s="23" t="n">
        <v>44543</v>
      </c>
      <c r="B341" s="3" t="n">
        <v>32</v>
      </c>
      <c r="C341" s="3" t="inlineStr">
        <is>
          <t>F</t>
        </is>
      </c>
      <c r="D341" s="3" t="inlineStr">
        <is>
          <t>Australia</t>
        </is>
      </c>
      <c r="E341" s="3" t="inlineStr">
        <is>
          <t>Queensland</t>
        </is>
      </c>
      <c r="F341" s="3" t="inlineStr">
        <is>
          <t>Mountain Bikes</t>
        </is>
      </c>
      <c r="G341" s="3" t="inlineStr">
        <is>
          <t>Silver</t>
        </is>
      </c>
      <c r="H341" s="3" t="inlineStr">
        <is>
          <t>Mountain-200 Silver, 42</t>
        </is>
      </c>
      <c r="I341" s="4" t="n">
        <v>3</v>
      </c>
      <c r="J341" s="24" t="n">
        <v>550</v>
      </c>
      <c r="K341" s="24" t="n">
        <v>850</v>
      </c>
      <c r="L341" s="25">
        <f>I341*K341</f>
        <v/>
      </c>
      <c r="M341" s="25">
        <f>I341*J341</f>
        <v/>
      </c>
      <c r="N341" s="25">
        <f>L341-M341</f>
        <v/>
      </c>
      <c r="O341" s="26">
        <f>IFERROR(N341/L341,0)</f>
        <v/>
      </c>
      <c r="P341">
        <f>YEAR(A341)</f>
        <v/>
      </c>
      <c r="Q341">
        <f>TEXT(A341,"mmm")</f>
        <v/>
      </c>
      <c r="R341">
        <f>IF(B341&lt;25,"18-24",IF(B341&lt;35,"25-34",IF(B341&lt;45,"35-44","45+")))</f>
        <v/>
      </c>
    </row>
    <row r="342">
      <c r="A342" s="23" t="n">
        <v>44544</v>
      </c>
      <c r="B342" s="3" t="n">
        <v>32</v>
      </c>
      <c r="C342" s="3" t="inlineStr">
        <is>
          <t>M</t>
        </is>
      </c>
      <c r="D342" s="3" t="inlineStr">
        <is>
          <t>France</t>
        </is>
      </c>
      <c r="E342" s="3" t="inlineStr">
        <is>
          <t>Seine (Paris)</t>
        </is>
      </c>
      <c r="F342" s="3" t="inlineStr">
        <is>
          <t>Road Bikes</t>
        </is>
      </c>
      <c r="G342" s="3" t="inlineStr">
        <is>
          <t>Red</t>
        </is>
      </c>
      <c r="H342" s="3" t="inlineStr">
        <is>
          <t>Road-150 Red, 48</t>
        </is>
      </c>
      <c r="I342" s="4" t="n">
        <v>3</v>
      </c>
      <c r="J342" s="24" t="n">
        <v>900</v>
      </c>
      <c r="K342" s="24" t="n">
        <v>1400</v>
      </c>
      <c r="L342" s="25">
        <f>I342*K342</f>
        <v/>
      </c>
      <c r="M342" s="25">
        <f>I342*J342</f>
        <v/>
      </c>
      <c r="N342" s="25">
        <f>L342-M342</f>
        <v/>
      </c>
      <c r="O342" s="26">
        <f>IFERROR(N342/L342,0)</f>
        <v/>
      </c>
      <c r="P342">
        <f>YEAR(A342)</f>
        <v/>
      </c>
      <c r="Q342">
        <f>TEXT(A342,"mmm")</f>
        <v/>
      </c>
      <c r="R342">
        <f>IF(B342&lt;25,"18-24",IF(B342&lt;35,"25-34",IF(B342&lt;45,"35-44","45+")))</f>
        <v/>
      </c>
    </row>
    <row r="343">
      <c r="A343" s="23" t="n">
        <v>44544</v>
      </c>
      <c r="B343" s="3" t="n">
        <v>32</v>
      </c>
      <c r="C343" s="3" t="inlineStr">
        <is>
          <t>M</t>
        </is>
      </c>
      <c r="D343" s="3" t="inlineStr">
        <is>
          <t>France</t>
        </is>
      </c>
      <c r="E343" s="3" t="inlineStr">
        <is>
          <t>Hauts de Seine</t>
        </is>
      </c>
      <c r="F343" s="3" t="inlineStr">
        <is>
          <t>Road Bikes</t>
        </is>
      </c>
      <c r="G343" s="3" t="inlineStr">
        <is>
          <t>Yellow</t>
        </is>
      </c>
      <c r="H343" s="3" t="inlineStr">
        <is>
          <t>Road-550-W Yellow, 42</t>
        </is>
      </c>
      <c r="I343" s="4" t="n">
        <v>3</v>
      </c>
      <c r="J343" s="24" t="n">
        <v>500</v>
      </c>
      <c r="K343" s="24" t="n">
        <v>800</v>
      </c>
      <c r="L343" s="25">
        <f>I343*K343</f>
        <v/>
      </c>
      <c r="M343" s="25">
        <f>I343*J343</f>
        <v/>
      </c>
      <c r="N343" s="25">
        <f>L343-M343</f>
        <v/>
      </c>
      <c r="O343" s="26">
        <f>IFERROR(N343/L343,0)</f>
        <v/>
      </c>
      <c r="P343">
        <f>YEAR(A343)</f>
        <v/>
      </c>
      <c r="Q343">
        <f>TEXT(A343,"mmm")</f>
        <v/>
      </c>
      <c r="R343">
        <f>IF(B343&lt;25,"18-24",IF(B343&lt;35,"25-34",IF(B343&lt;45,"35-44","45+")))</f>
        <v/>
      </c>
    </row>
    <row r="344">
      <c r="A344" s="23" t="n">
        <v>44544</v>
      </c>
      <c r="B344" s="3" t="n">
        <v>32</v>
      </c>
      <c r="C344" s="3" t="inlineStr">
        <is>
          <t>M</t>
        </is>
      </c>
      <c r="D344" s="3" t="inlineStr">
        <is>
          <t>United States</t>
        </is>
      </c>
      <c r="E344" s="3" t="inlineStr">
        <is>
          <t>California</t>
        </is>
      </c>
      <c r="F344" s="3" t="inlineStr">
        <is>
          <t>Mountain Bikes</t>
        </is>
      </c>
      <c r="G344" s="3" t="inlineStr">
        <is>
          <t>Black</t>
        </is>
      </c>
      <c r="H344" s="3" t="inlineStr">
        <is>
          <t>Mountain-200 Black, 46</t>
        </is>
      </c>
      <c r="I344" s="4" t="n">
        <v>1</v>
      </c>
      <c r="J344" s="24" t="n">
        <v>550</v>
      </c>
      <c r="K344" s="24" t="n">
        <v>850</v>
      </c>
      <c r="L344" s="25">
        <f>I344*K344</f>
        <v/>
      </c>
      <c r="M344" s="25">
        <f>I344*J344</f>
        <v/>
      </c>
      <c r="N344" s="25">
        <f>L344-M344</f>
        <v/>
      </c>
      <c r="O344" s="26">
        <f>IFERROR(N344/L344,0)</f>
        <v/>
      </c>
      <c r="P344">
        <f>YEAR(A344)</f>
        <v/>
      </c>
      <c r="Q344">
        <f>TEXT(A344,"mmm")</f>
        <v/>
      </c>
      <c r="R344">
        <f>IF(B344&lt;25,"18-24",IF(B344&lt;35,"25-34",IF(B344&lt;45,"35-44","45+")))</f>
        <v/>
      </c>
    </row>
    <row r="345">
      <c r="A345" s="23" t="n">
        <v>44544</v>
      </c>
      <c r="B345" s="3" t="n">
        <v>32</v>
      </c>
      <c r="C345" s="3" t="inlineStr">
        <is>
          <t>F</t>
        </is>
      </c>
      <c r="D345" s="3" t="inlineStr">
        <is>
          <t>Australia</t>
        </is>
      </c>
      <c r="E345" s="3" t="inlineStr">
        <is>
          <t>Victoria</t>
        </is>
      </c>
      <c r="F345" s="3" t="inlineStr">
        <is>
          <t>Mountain Bikes</t>
        </is>
      </c>
      <c r="G345" s="3" t="inlineStr">
        <is>
          <t>Silver</t>
        </is>
      </c>
      <c r="H345" s="3" t="inlineStr">
        <is>
          <t>Mountain-400-W Silver, 46</t>
        </is>
      </c>
      <c r="I345" s="4" t="n">
        <v>1</v>
      </c>
      <c r="J345" s="24" t="n">
        <v>450</v>
      </c>
      <c r="K345" s="24" t="n">
        <v>720</v>
      </c>
      <c r="L345" s="25">
        <f>I345*K345</f>
        <v/>
      </c>
      <c r="M345" s="25">
        <f>I345*J345</f>
        <v/>
      </c>
      <c r="N345" s="25">
        <f>L345-M345</f>
        <v/>
      </c>
      <c r="O345" s="26">
        <f>IFERROR(N345/L345,0)</f>
        <v/>
      </c>
      <c r="P345">
        <f>YEAR(A345)</f>
        <v/>
      </c>
      <c r="Q345">
        <f>TEXT(A345,"mmm")</f>
        <v/>
      </c>
      <c r="R345">
        <f>IF(B345&lt;25,"18-24",IF(B345&lt;35,"25-34",IF(B345&lt;45,"35-44","45+")))</f>
        <v/>
      </c>
    </row>
    <row r="346">
      <c r="A346" s="23" t="n">
        <v>44546</v>
      </c>
      <c r="B346" s="3" t="n">
        <v>32</v>
      </c>
      <c r="C346" s="3" t="inlineStr">
        <is>
          <t>M</t>
        </is>
      </c>
      <c r="D346" s="3" t="inlineStr">
        <is>
          <t>France</t>
        </is>
      </c>
      <c r="E346" s="3" t="inlineStr">
        <is>
          <t>Seine (Paris)</t>
        </is>
      </c>
      <c r="F346" s="3" t="inlineStr">
        <is>
          <t>Road Bikes</t>
        </is>
      </c>
      <c r="G346" s="3" t="inlineStr">
        <is>
          <t>Red</t>
        </is>
      </c>
      <c r="H346" s="3" t="inlineStr">
        <is>
          <t>Road-150 Red, 48</t>
        </is>
      </c>
      <c r="I346" s="4" t="n">
        <v>1</v>
      </c>
      <c r="J346" s="24" t="n">
        <v>900</v>
      </c>
      <c r="K346" s="24" t="n">
        <v>1400</v>
      </c>
      <c r="L346" s="25">
        <f>I346*K346</f>
        <v/>
      </c>
      <c r="M346" s="25">
        <f>I346*J346</f>
        <v/>
      </c>
      <c r="N346" s="25">
        <f>L346-M346</f>
        <v/>
      </c>
      <c r="O346" s="26">
        <f>IFERROR(N346/L346,0)</f>
        <v/>
      </c>
      <c r="P346">
        <f>YEAR(A346)</f>
        <v/>
      </c>
      <c r="Q346">
        <f>TEXT(A346,"mmm")</f>
        <v/>
      </c>
      <c r="R346">
        <f>IF(B346&lt;25,"18-24",IF(B346&lt;35,"25-34",IF(B346&lt;45,"35-44","45+")))</f>
        <v/>
      </c>
    </row>
    <row r="347">
      <c r="A347" s="23" t="n">
        <v>44561</v>
      </c>
      <c r="B347" s="3" t="n">
        <v>32</v>
      </c>
      <c r="C347" s="3" t="inlineStr">
        <is>
          <t>M</t>
        </is>
      </c>
      <c r="D347" s="3" t="inlineStr">
        <is>
          <t>France</t>
        </is>
      </c>
      <c r="E347" s="3" t="inlineStr">
        <is>
          <t>Seine Saint Denis</t>
        </is>
      </c>
      <c r="F347" s="3" t="inlineStr">
        <is>
          <t>Road Bikes</t>
        </is>
      </c>
      <c r="G347" s="3" t="inlineStr">
        <is>
          <t>Red</t>
        </is>
      </c>
      <c r="H347" s="3" t="inlineStr">
        <is>
          <t>Road-150 Red, 56</t>
        </is>
      </c>
      <c r="I347" s="4" t="n">
        <v>4</v>
      </c>
      <c r="J347" s="24" t="n">
        <v>900</v>
      </c>
      <c r="K347" s="24" t="n">
        <v>1400</v>
      </c>
      <c r="L347" s="25">
        <f>I347*K347</f>
        <v/>
      </c>
      <c r="M347" s="25">
        <f>I347*J347</f>
        <v/>
      </c>
      <c r="N347" s="25">
        <f>L347-M347</f>
        <v/>
      </c>
      <c r="O347" s="26">
        <f>IFERROR(N347/L347,0)</f>
        <v/>
      </c>
      <c r="P347">
        <f>YEAR(A347)</f>
        <v/>
      </c>
      <c r="Q347">
        <f>TEXT(A347,"mmm")</f>
        <v/>
      </c>
      <c r="R347">
        <f>IF(B347&lt;25,"18-24",IF(B347&lt;35,"25-34",IF(B347&lt;45,"35-44","45+")))</f>
        <v/>
      </c>
    </row>
    <row r="348">
      <c r="A348" s="23" t="n">
        <v>44486</v>
      </c>
      <c r="B348" s="3" t="n">
        <v>33</v>
      </c>
      <c r="C348" s="3" t="inlineStr">
        <is>
          <t>M</t>
        </is>
      </c>
      <c r="D348" s="3" t="inlineStr">
        <is>
          <t>Germany</t>
        </is>
      </c>
      <c r="E348" s="3" t="inlineStr">
        <is>
          <t>Bayern</t>
        </is>
      </c>
      <c r="F348" s="3" t="inlineStr">
        <is>
          <t>Road Bikes</t>
        </is>
      </c>
      <c r="G348" s="3" t="inlineStr">
        <is>
          <t>Red</t>
        </is>
      </c>
      <c r="H348" s="3" t="inlineStr">
        <is>
          <t>Road-150 Red, 62</t>
        </is>
      </c>
      <c r="I348" s="4" t="n">
        <v>2</v>
      </c>
      <c r="J348" s="24" t="n">
        <v>900</v>
      </c>
      <c r="K348" s="24" t="n">
        <v>1400</v>
      </c>
      <c r="L348" s="25">
        <f>I348*K348</f>
        <v/>
      </c>
      <c r="M348" s="25">
        <f>I348*J348</f>
        <v/>
      </c>
      <c r="N348" s="25">
        <f>L348-M348</f>
        <v/>
      </c>
      <c r="O348" s="26">
        <f>IFERROR(N348/L348,0)</f>
        <v/>
      </c>
      <c r="P348">
        <f>YEAR(A348)</f>
        <v/>
      </c>
      <c r="Q348">
        <f>TEXT(A348,"mmm")</f>
        <v/>
      </c>
      <c r="R348">
        <f>IF(B348&lt;25,"18-24",IF(B348&lt;35,"25-34",IF(B348&lt;45,"35-44","45+")))</f>
        <v/>
      </c>
    </row>
    <row r="349">
      <c r="A349" s="23" t="n">
        <v>44499</v>
      </c>
      <c r="B349" s="3" t="n">
        <v>33</v>
      </c>
      <c r="C349" s="3" t="inlineStr">
        <is>
          <t>F</t>
        </is>
      </c>
      <c r="D349" s="3" t="inlineStr">
        <is>
          <t>Australia</t>
        </is>
      </c>
      <c r="E349" s="3" t="inlineStr">
        <is>
          <t>Victoria</t>
        </is>
      </c>
      <c r="F349" s="3" t="inlineStr">
        <is>
          <t>Road Bikes</t>
        </is>
      </c>
      <c r="G349" s="3" t="inlineStr">
        <is>
          <t>Black</t>
        </is>
      </c>
      <c r="H349" s="3" t="inlineStr">
        <is>
          <t>Road-250 Black, 58</t>
        </is>
      </c>
      <c r="I349" s="4" t="n">
        <v>4</v>
      </c>
      <c r="J349" s="24" t="n">
        <v>580</v>
      </c>
      <c r="K349" s="24" t="n">
        <v>920</v>
      </c>
      <c r="L349" s="25">
        <f>I349*K349</f>
        <v/>
      </c>
      <c r="M349" s="25">
        <f>I349*J349</f>
        <v/>
      </c>
      <c r="N349" s="25">
        <f>L349-M349</f>
        <v/>
      </c>
      <c r="O349" s="26">
        <f>IFERROR(N349/L349,0)</f>
        <v/>
      </c>
      <c r="P349">
        <f>YEAR(A349)</f>
        <v/>
      </c>
      <c r="Q349">
        <f>TEXT(A349,"mmm")</f>
        <v/>
      </c>
      <c r="R349">
        <f>IF(B349&lt;25,"18-24",IF(B349&lt;35,"25-34",IF(B349&lt;45,"35-44","45+")))</f>
        <v/>
      </c>
    </row>
    <row r="350">
      <c r="A350" s="23" t="n">
        <v>44499</v>
      </c>
      <c r="B350" s="3" t="n">
        <v>33</v>
      </c>
      <c r="C350" s="3" t="inlineStr">
        <is>
          <t>F</t>
        </is>
      </c>
      <c r="D350" s="3" t="inlineStr">
        <is>
          <t>France</t>
        </is>
      </c>
      <c r="E350" s="3" t="inlineStr">
        <is>
          <t>Essonne</t>
        </is>
      </c>
      <c r="F350" s="3" t="inlineStr">
        <is>
          <t>Road Bikes</t>
        </is>
      </c>
      <c r="G350" s="3" t="inlineStr">
        <is>
          <t>Red</t>
        </is>
      </c>
      <c r="H350" s="3" t="inlineStr">
        <is>
          <t>Road-150 Red, 44</t>
        </is>
      </c>
      <c r="I350" s="4" t="n">
        <v>3</v>
      </c>
      <c r="J350" s="24" t="n">
        <v>900</v>
      </c>
      <c r="K350" s="24" t="n">
        <v>1400</v>
      </c>
      <c r="L350" s="25">
        <f>I350*K350</f>
        <v/>
      </c>
      <c r="M350" s="25">
        <f>I350*J350</f>
        <v/>
      </c>
      <c r="N350" s="25">
        <f>L350-M350</f>
        <v/>
      </c>
      <c r="O350" s="26">
        <f>IFERROR(N350/L350,0)</f>
        <v/>
      </c>
      <c r="P350">
        <f>YEAR(A350)</f>
        <v/>
      </c>
      <c r="Q350">
        <f>TEXT(A350,"mmm")</f>
        <v/>
      </c>
      <c r="R350">
        <f>IF(B350&lt;25,"18-24",IF(B350&lt;35,"25-34",IF(B350&lt;45,"35-44","45+")))</f>
        <v/>
      </c>
    </row>
    <row r="351">
      <c r="A351" s="23" t="n">
        <v>44509</v>
      </c>
      <c r="B351" s="3" t="n">
        <v>33</v>
      </c>
      <c r="C351" s="3" t="inlineStr">
        <is>
          <t>F</t>
        </is>
      </c>
      <c r="D351" s="3" t="inlineStr">
        <is>
          <t>France</t>
        </is>
      </c>
      <c r="E351" s="3" t="inlineStr">
        <is>
          <t>Hauts de Seine</t>
        </is>
      </c>
      <c r="F351" s="3" t="inlineStr">
        <is>
          <t>Road Bikes</t>
        </is>
      </c>
      <c r="G351" s="3" t="inlineStr">
        <is>
          <t>Yellow</t>
        </is>
      </c>
      <c r="H351" s="3" t="inlineStr">
        <is>
          <t>Road-550-W Yellow, 42</t>
        </is>
      </c>
      <c r="I351" s="4" t="n">
        <v>4</v>
      </c>
      <c r="J351" s="24" t="n">
        <v>500</v>
      </c>
      <c r="K351" s="24" t="n">
        <v>800</v>
      </c>
      <c r="L351" s="25">
        <f>I351*K351</f>
        <v/>
      </c>
      <c r="M351" s="25">
        <f>I351*J351</f>
        <v/>
      </c>
      <c r="N351" s="25">
        <f>L351-M351</f>
        <v/>
      </c>
      <c r="O351" s="26">
        <f>IFERROR(N351/L351,0)</f>
        <v/>
      </c>
      <c r="P351">
        <f>YEAR(A351)</f>
        <v/>
      </c>
      <c r="Q351">
        <f>TEXT(A351,"mmm")</f>
        <v/>
      </c>
      <c r="R351">
        <f>IF(B351&lt;25,"18-24",IF(B351&lt;35,"25-34",IF(B351&lt;45,"35-44","45+")))</f>
        <v/>
      </c>
    </row>
    <row r="352">
      <c r="A352" s="23" t="n">
        <v>44516</v>
      </c>
      <c r="B352" s="3" t="n">
        <v>33</v>
      </c>
      <c r="C352" s="3" t="inlineStr">
        <is>
          <t>F</t>
        </is>
      </c>
      <c r="D352" s="3" t="inlineStr">
        <is>
          <t>United States</t>
        </is>
      </c>
      <c r="E352" s="3" t="inlineStr">
        <is>
          <t>California</t>
        </is>
      </c>
      <c r="F352" s="3" t="inlineStr">
        <is>
          <t>Mountain Bikes</t>
        </is>
      </c>
      <c r="G352" s="3" t="inlineStr">
        <is>
          <t>Black</t>
        </is>
      </c>
      <c r="H352" s="3" t="inlineStr">
        <is>
          <t>Mountain-200 Black, 42</t>
        </is>
      </c>
      <c r="I352" s="4" t="n">
        <v>1</v>
      </c>
      <c r="J352" s="24" t="n">
        <v>550</v>
      </c>
      <c r="K352" s="24" t="n">
        <v>850</v>
      </c>
      <c r="L352" s="25">
        <f>I352*K352</f>
        <v/>
      </c>
      <c r="M352" s="25">
        <f>I352*J352</f>
        <v/>
      </c>
      <c r="N352" s="25">
        <f>L352-M352</f>
        <v/>
      </c>
      <c r="O352" s="26">
        <f>IFERROR(N352/L352,0)</f>
        <v/>
      </c>
      <c r="P352">
        <f>YEAR(A352)</f>
        <v/>
      </c>
      <c r="Q352">
        <f>TEXT(A352,"mmm")</f>
        <v/>
      </c>
      <c r="R352">
        <f>IF(B352&lt;25,"18-24",IF(B352&lt;35,"25-34",IF(B352&lt;45,"35-44","45+")))</f>
        <v/>
      </c>
    </row>
    <row r="353">
      <c r="A353" s="23" t="n">
        <v>44519</v>
      </c>
      <c r="B353" s="3" t="n">
        <v>33</v>
      </c>
      <c r="C353" s="3" t="inlineStr">
        <is>
          <t>M</t>
        </is>
      </c>
      <c r="D353" s="3" t="inlineStr">
        <is>
          <t>United States</t>
        </is>
      </c>
      <c r="E353" s="3" t="inlineStr">
        <is>
          <t>California</t>
        </is>
      </c>
      <c r="F353" s="3" t="inlineStr">
        <is>
          <t>Mountain Bikes</t>
        </is>
      </c>
      <c r="G353" s="3" t="inlineStr">
        <is>
          <t>Silver</t>
        </is>
      </c>
      <c r="H353" s="3" t="inlineStr">
        <is>
          <t>Mountain-200 Silver, 42</t>
        </is>
      </c>
      <c r="I353" s="4" t="n">
        <v>4</v>
      </c>
      <c r="J353" s="24" t="n">
        <v>550</v>
      </c>
      <c r="K353" s="24" t="n">
        <v>850</v>
      </c>
      <c r="L353" s="25">
        <f>I353*K353</f>
        <v/>
      </c>
      <c r="M353" s="25">
        <f>I353*J353</f>
        <v/>
      </c>
      <c r="N353" s="25">
        <f>L353-M353</f>
        <v/>
      </c>
      <c r="O353" s="26">
        <f>IFERROR(N353/L353,0)</f>
        <v/>
      </c>
      <c r="P353">
        <f>YEAR(A353)</f>
        <v/>
      </c>
      <c r="Q353">
        <f>TEXT(A353,"mmm")</f>
        <v/>
      </c>
      <c r="R353">
        <f>IF(B353&lt;25,"18-24",IF(B353&lt;35,"25-34",IF(B353&lt;45,"35-44","45+")))</f>
        <v/>
      </c>
    </row>
    <row r="354">
      <c r="A354" s="23" t="n">
        <v>44524</v>
      </c>
      <c r="B354" s="3" t="n">
        <v>33</v>
      </c>
      <c r="C354" s="3" t="inlineStr">
        <is>
          <t>F</t>
        </is>
      </c>
      <c r="D354" s="3" t="inlineStr">
        <is>
          <t>United States</t>
        </is>
      </c>
      <c r="E354" s="3" t="inlineStr">
        <is>
          <t>Oregon</t>
        </is>
      </c>
      <c r="F354" s="3" t="inlineStr">
        <is>
          <t>Road Bikes</t>
        </is>
      </c>
      <c r="G354" s="3" t="inlineStr">
        <is>
          <t>Yellow</t>
        </is>
      </c>
      <c r="H354" s="3" t="inlineStr">
        <is>
          <t>Road-550-W Yellow, 38</t>
        </is>
      </c>
      <c r="I354" s="4" t="n">
        <v>1</v>
      </c>
      <c r="J354" s="24" t="n">
        <v>500</v>
      </c>
      <c r="K354" s="24" t="n">
        <v>800</v>
      </c>
      <c r="L354" s="25">
        <f>I354*K354</f>
        <v/>
      </c>
      <c r="M354" s="25">
        <f>I354*J354</f>
        <v/>
      </c>
      <c r="N354" s="25">
        <f>L354-M354</f>
        <v/>
      </c>
      <c r="O354" s="26">
        <f>IFERROR(N354/L354,0)</f>
        <v/>
      </c>
      <c r="P354">
        <f>YEAR(A354)</f>
        <v/>
      </c>
      <c r="Q354">
        <f>TEXT(A354,"mmm")</f>
        <v/>
      </c>
      <c r="R354">
        <f>IF(B354&lt;25,"18-24",IF(B354&lt;35,"25-34",IF(B354&lt;45,"35-44","45+")))</f>
        <v/>
      </c>
    </row>
    <row r="355">
      <c r="A355" s="23" t="n">
        <v>44537</v>
      </c>
      <c r="B355" s="3" t="n">
        <v>33</v>
      </c>
      <c r="C355" s="3" t="inlineStr">
        <is>
          <t>M</t>
        </is>
      </c>
      <c r="D355" s="3" t="inlineStr">
        <is>
          <t>France</t>
        </is>
      </c>
      <c r="E355" s="3" t="inlineStr">
        <is>
          <t>Somme</t>
        </is>
      </c>
      <c r="F355" s="3" t="inlineStr">
        <is>
          <t>Road Bikes</t>
        </is>
      </c>
      <c r="G355" s="3" t="inlineStr">
        <is>
          <t>Black</t>
        </is>
      </c>
      <c r="H355" s="3" t="inlineStr">
        <is>
          <t>Road-250 Black, 48</t>
        </is>
      </c>
      <c r="I355" s="4" t="n">
        <v>1</v>
      </c>
      <c r="J355" s="24" t="n">
        <v>580</v>
      </c>
      <c r="K355" s="24" t="n">
        <v>920</v>
      </c>
      <c r="L355" s="25">
        <f>I355*K355</f>
        <v/>
      </c>
      <c r="M355" s="25">
        <f>I355*J355</f>
        <v/>
      </c>
      <c r="N355" s="25">
        <f>L355-M355</f>
        <v/>
      </c>
      <c r="O355" s="26">
        <f>IFERROR(N355/L355,0)</f>
        <v/>
      </c>
      <c r="P355">
        <f>YEAR(A355)</f>
        <v/>
      </c>
      <c r="Q355">
        <f>TEXT(A355,"mmm")</f>
        <v/>
      </c>
      <c r="R355">
        <f>IF(B355&lt;25,"18-24",IF(B355&lt;35,"25-34",IF(B355&lt;45,"35-44","45+")))</f>
        <v/>
      </c>
    </row>
    <row r="356">
      <c r="A356" s="23" t="n">
        <v>44539</v>
      </c>
      <c r="B356" s="3" t="n">
        <v>33</v>
      </c>
      <c r="C356" s="3" t="inlineStr">
        <is>
          <t>F</t>
        </is>
      </c>
      <c r="D356" s="3" t="inlineStr">
        <is>
          <t>Australia</t>
        </is>
      </c>
      <c r="E356" s="3" t="inlineStr">
        <is>
          <t>Victoria</t>
        </is>
      </c>
      <c r="F356" s="3" t="inlineStr">
        <is>
          <t>Mountain Bikes</t>
        </is>
      </c>
      <c r="G356" s="3" t="inlineStr">
        <is>
          <t>Black</t>
        </is>
      </c>
      <c r="H356" s="3" t="inlineStr">
        <is>
          <t>Mountain-100 Black, 38</t>
        </is>
      </c>
      <c r="I356" s="4" t="n">
        <v>2</v>
      </c>
      <c r="J356" s="24" t="n">
        <v>400</v>
      </c>
      <c r="K356" s="24" t="n">
        <v>650</v>
      </c>
      <c r="L356" s="25">
        <f>I356*K356</f>
        <v/>
      </c>
      <c r="M356" s="25">
        <f>I356*J356</f>
        <v/>
      </c>
      <c r="N356" s="25">
        <f>L356-M356</f>
        <v/>
      </c>
      <c r="O356" s="26">
        <f>IFERROR(N356/L356,0)</f>
        <v/>
      </c>
      <c r="P356">
        <f>YEAR(A356)</f>
        <v/>
      </c>
      <c r="Q356">
        <f>TEXT(A356,"mmm")</f>
        <v/>
      </c>
      <c r="R356">
        <f>IF(B356&lt;25,"18-24",IF(B356&lt;35,"25-34",IF(B356&lt;45,"35-44","45+")))</f>
        <v/>
      </c>
    </row>
    <row r="357">
      <c r="A357" s="23" t="n">
        <v>44542</v>
      </c>
      <c r="B357" s="3" t="n">
        <v>33</v>
      </c>
      <c r="C357" s="3" t="inlineStr">
        <is>
          <t>F</t>
        </is>
      </c>
      <c r="D357" s="3" t="inlineStr">
        <is>
          <t>United Kingdom</t>
        </is>
      </c>
      <c r="E357" s="3" t="inlineStr">
        <is>
          <t>England</t>
        </is>
      </c>
      <c r="F357" s="3" t="inlineStr">
        <is>
          <t>Road Bikes</t>
        </is>
      </c>
      <c r="G357" s="3" t="inlineStr">
        <is>
          <t>Yellow</t>
        </is>
      </c>
      <c r="H357" s="3" t="inlineStr">
        <is>
          <t>Road-350-W Yellow, 48</t>
        </is>
      </c>
      <c r="I357" s="4" t="n">
        <v>3</v>
      </c>
      <c r="J357" s="24" t="n">
        <v>530</v>
      </c>
      <c r="K357" s="24" t="n">
        <v>840</v>
      </c>
      <c r="L357" s="25">
        <f>I357*K357</f>
        <v/>
      </c>
      <c r="M357" s="25">
        <f>I357*J357</f>
        <v/>
      </c>
      <c r="N357" s="25">
        <f>L357-M357</f>
        <v/>
      </c>
      <c r="O357" s="26">
        <f>IFERROR(N357/L357,0)</f>
        <v/>
      </c>
      <c r="P357">
        <f>YEAR(A357)</f>
        <v/>
      </c>
      <c r="Q357">
        <f>TEXT(A357,"mmm")</f>
        <v/>
      </c>
      <c r="R357">
        <f>IF(B357&lt;25,"18-24",IF(B357&lt;35,"25-34",IF(B357&lt;45,"35-44","45+")))</f>
        <v/>
      </c>
    </row>
    <row r="358">
      <c r="A358" s="23" t="n">
        <v>44542</v>
      </c>
      <c r="B358" s="3" t="n">
        <v>33</v>
      </c>
      <c r="C358" s="3" t="inlineStr">
        <is>
          <t>M</t>
        </is>
      </c>
      <c r="D358" s="3" t="inlineStr">
        <is>
          <t>Germany</t>
        </is>
      </c>
      <c r="E358" s="3" t="inlineStr">
        <is>
          <t>Saarland</t>
        </is>
      </c>
      <c r="F358" s="3" t="inlineStr">
        <is>
          <t>Road Bikes</t>
        </is>
      </c>
      <c r="G358" s="3" t="inlineStr">
        <is>
          <t>Red</t>
        </is>
      </c>
      <c r="H358" s="3" t="inlineStr">
        <is>
          <t>Road-250 Red, 44</t>
        </is>
      </c>
      <c r="I358" s="4" t="n">
        <v>1</v>
      </c>
      <c r="J358" s="24" t="n">
        <v>580</v>
      </c>
      <c r="K358" s="24" t="n">
        <v>920</v>
      </c>
      <c r="L358" s="25">
        <f>I358*K358</f>
        <v/>
      </c>
      <c r="M358" s="25">
        <f>I358*J358</f>
        <v/>
      </c>
      <c r="N358" s="25">
        <f>L358-M358</f>
        <v/>
      </c>
      <c r="O358" s="26">
        <f>IFERROR(N358/L358,0)</f>
        <v/>
      </c>
      <c r="P358">
        <f>YEAR(A358)</f>
        <v/>
      </c>
      <c r="Q358">
        <f>TEXT(A358,"mmm")</f>
        <v/>
      </c>
      <c r="R358">
        <f>IF(B358&lt;25,"18-24",IF(B358&lt;35,"25-34",IF(B358&lt;45,"35-44","45+")))</f>
        <v/>
      </c>
    </row>
    <row r="359">
      <c r="A359" s="23" t="n">
        <v>44544</v>
      </c>
      <c r="B359" s="3" t="n">
        <v>33</v>
      </c>
      <c r="C359" s="3" t="inlineStr">
        <is>
          <t>F</t>
        </is>
      </c>
      <c r="D359" s="3" t="inlineStr">
        <is>
          <t>Germany</t>
        </is>
      </c>
      <c r="E359" s="3" t="inlineStr">
        <is>
          <t>Hessen</t>
        </is>
      </c>
      <c r="F359" s="3" t="inlineStr">
        <is>
          <t>Road Bikes</t>
        </is>
      </c>
      <c r="G359" s="3" t="inlineStr">
        <is>
          <t>Red</t>
        </is>
      </c>
      <c r="H359" s="3" t="inlineStr">
        <is>
          <t>Road-150 Red, 56</t>
        </is>
      </c>
      <c r="I359" s="4" t="n">
        <v>4</v>
      </c>
      <c r="J359" s="24" t="n">
        <v>900</v>
      </c>
      <c r="K359" s="24" t="n">
        <v>1400</v>
      </c>
      <c r="L359" s="25">
        <f>I359*K359</f>
        <v/>
      </c>
      <c r="M359" s="25">
        <f>I359*J359</f>
        <v/>
      </c>
      <c r="N359" s="25">
        <f>L359-M359</f>
        <v/>
      </c>
      <c r="O359" s="26">
        <f>IFERROR(N359/L359,0)</f>
        <v/>
      </c>
      <c r="P359">
        <f>YEAR(A359)</f>
        <v/>
      </c>
      <c r="Q359">
        <f>TEXT(A359,"mmm")</f>
        <v/>
      </c>
      <c r="R359">
        <f>IF(B359&lt;25,"18-24",IF(B359&lt;35,"25-34",IF(B359&lt;45,"35-44","45+")))</f>
        <v/>
      </c>
    </row>
    <row r="360">
      <c r="A360" s="23" t="n">
        <v>44546</v>
      </c>
      <c r="B360" s="3" t="n">
        <v>33</v>
      </c>
      <c r="C360" s="3" t="inlineStr">
        <is>
          <t>F</t>
        </is>
      </c>
      <c r="D360" s="3" t="inlineStr">
        <is>
          <t>Australia</t>
        </is>
      </c>
      <c r="E360" s="3" t="inlineStr">
        <is>
          <t>New South Wales</t>
        </is>
      </c>
      <c r="F360" s="3" t="inlineStr">
        <is>
          <t>Mountain Bikes</t>
        </is>
      </c>
      <c r="G360" s="3" t="inlineStr">
        <is>
          <t>Black</t>
        </is>
      </c>
      <c r="H360" s="3" t="inlineStr">
        <is>
          <t>Mountain-200 Black, 38</t>
        </is>
      </c>
      <c r="I360" s="4" t="n">
        <v>2</v>
      </c>
      <c r="J360" s="24" t="n">
        <v>550</v>
      </c>
      <c r="K360" s="24" t="n">
        <v>850</v>
      </c>
      <c r="L360" s="25">
        <f>I360*K360</f>
        <v/>
      </c>
      <c r="M360" s="25">
        <f>I360*J360</f>
        <v/>
      </c>
      <c r="N360" s="25">
        <f>L360-M360</f>
        <v/>
      </c>
      <c r="O360" s="26">
        <f>IFERROR(N360/L360,0)</f>
        <v/>
      </c>
      <c r="P360">
        <f>YEAR(A360)</f>
        <v/>
      </c>
      <c r="Q360">
        <f>TEXT(A360,"mmm")</f>
        <v/>
      </c>
      <c r="R360">
        <f>IF(B360&lt;25,"18-24",IF(B360&lt;35,"25-34",IF(B360&lt;45,"35-44","45+")))</f>
        <v/>
      </c>
    </row>
    <row r="361">
      <c r="A361" s="23" t="n">
        <v>44550</v>
      </c>
      <c r="B361" s="3" t="n">
        <v>33</v>
      </c>
      <c r="C361" s="3" t="inlineStr">
        <is>
          <t>F</t>
        </is>
      </c>
      <c r="D361" s="3" t="inlineStr">
        <is>
          <t>Australia</t>
        </is>
      </c>
      <c r="E361" s="3" t="inlineStr">
        <is>
          <t>Victoria</t>
        </is>
      </c>
      <c r="F361" s="3" t="inlineStr">
        <is>
          <t>Mountain Bikes</t>
        </is>
      </c>
      <c r="G361" s="3" t="inlineStr">
        <is>
          <t>Black</t>
        </is>
      </c>
      <c r="H361" s="3" t="inlineStr">
        <is>
          <t>Mountain-100 Black, 38</t>
        </is>
      </c>
      <c r="I361" s="4" t="n">
        <v>4</v>
      </c>
      <c r="J361" s="24" t="n">
        <v>400</v>
      </c>
      <c r="K361" s="24" t="n">
        <v>650</v>
      </c>
      <c r="L361" s="25">
        <f>I361*K361</f>
        <v/>
      </c>
      <c r="M361" s="25">
        <f>I361*J361</f>
        <v/>
      </c>
      <c r="N361" s="25">
        <f>L361-M361</f>
        <v/>
      </c>
      <c r="O361" s="26">
        <f>IFERROR(N361/L361,0)</f>
        <v/>
      </c>
      <c r="P361">
        <f>YEAR(A361)</f>
        <v/>
      </c>
      <c r="Q361">
        <f>TEXT(A361,"mmm")</f>
        <v/>
      </c>
      <c r="R361">
        <f>IF(B361&lt;25,"18-24",IF(B361&lt;35,"25-34",IF(B361&lt;45,"35-44","45+")))</f>
        <v/>
      </c>
    </row>
    <row r="362">
      <c r="A362" s="23" t="n">
        <v>44550</v>
      </c>
      <c r="B362" s="3" t="n">
        <v>33</v>
      </c>
      <c r="C362" s="3" t="inlineStr">
        <is>
          <t>M</t>
        </is>
      </c>
      <c r="D362" s="3" t="inlineStr">
        <is>
          <t>France</t>
        </is>
      </c>
      <c r="E362" s="3" t="inlineStr">
        <is>
          <t>Charente-Maritime</t>
        </is>
      </c>
      <c r="F362" s="3" t="inlineStr">
        <is>
          <t>Road Bikes</t>
        </is>
      </c>
      <c r="G362" s="3" t="inlineStr">
        <is>
          <t>Black</t>
        </is>
      </c>
      <c r="H362" s="3" t="inlineStr">
        <is>
          <t>Road-250 Black, 52</t>
        </is>
      </c>
      <c r="I362" s="4" t="n">
        <v>3</v>
      </c>
      <c r="J362" s="24" t="n">
        <v>580</v>
      </c>
      <c r="K362" s="24" t="n">
        <v>920</v>
      </c>
      <c r="L362" s="25">
        <f>I362*K362</f>
        <v/>
      </c>
      <c r="M362" s="25">
        <f>I362*J362</f>
        <v/>
      </c>
      <c r="N362" s="25">
        <f>L362-M362</f>
        <v/>
      </c>
      <c r="O362" s="26">
        <f>IFERROR(N362/L362,0)</f>
        <v/>
      </c>
      <c r="P362">
        <f>YEAR(A362)</f>
        <v/>
      </c>
      <c r="Q362">
        <f>TEXT(A362,"mmm")</f>
        <v/>
      </c>
      <c r="R362">
        <f>IF(B362&lt;25,"18-24",IF(B362&lt;35,"25-34",IF(B362&lt;45,"35-44","45+")))</f>
        <v/>
      </c>
    </row>
    <row r="363">
      <c r="A363" s="23" t="n">
        <v>44561</v>
      </c>
      <c r="B363" s="3" t="n">
        <v>33</v>
      </c>
      <c r="C363" s="3" t="inlineStr">
        <is>
          <t>F</t>
        </is>
      </c>
      <c r="D363" s="3" t="inlineStr">
        <is>
          <t>Australia</t>
        </is>
      </c>
      <c r="E363" s="3" t="inlineStr">
        <is>
          <t>New South Wales</t>
        </is>
      </c>
      <c r="F363" s="3" t="inlineStr">
        <is>
          <t>Mountain Bikes</t>
        </is>
      </c>
      <c r="G363" s="3" t="inlineStr">
        <is>
          <t>Black</t>
        </is>
      </c>
      <c r="H363" s="3" t="inlineStr">
        <is>
          <t>Mountain-200 Black, 38</t>
        </is>
      </c>
      <c r="I363" s="4" t="n">
        <v>1</v>
      </c>
      <c r="J363" s="24" t="n">
        <v>550</v>
      </c>
      <c r="K363" s="24" t="n">
        <v>850</v>
      </c>
      <c r="L363" s="25">
        <f>I363*K363</f>
        <v/>
      </c>
      <c r="M363" s="25">
        <f>I363*J363</f>
        <v/>
      </c>
      <c r="N363" s="25">
        <f>L363-M363</f>
        <v/>
      </c>
      <c r="O363" s="26">
        <f>IFERROR(N363/L363,0)</f>
        <v/>
      </c>
      <c r="P363">
        <f>YEAR(A363)</f>
        <v/>
      </c>
      <c r="Q363">
        <f>TEXT(A363,"mmm")</f>
        <v/>
      </c>
      <c r="R363">
        <f>IF(B363&lt;25,"18-24",IF(B363&lt;35,"25-34",IF(B363&lt;45,"35-44","45+")))</f>
        <v/>
      </c>
    </row>
    <row r="364">
      <c r="A364" s="23" t="n">
        <v>44472</v>
      </c>
      <c r="B364" s="3" t="n">
        <v>34</v>
      </c>
      <c r="C364" s="3" t="inlineStr">
        <is>
          <t>F</t>
        </is>
      </c>
      <c r="D364" s="3" t="inlineStr">
        <is>
          <t>Australia</t>
        </is>
      </c>
      <c r="E364" s="3" t="inlineStr">
        <is>
          <t>New South Wales</t>
        </is>
      </c>
      <c r="F364" s="3" t="inlineStr">
        <is>
          <t>Road Bikes</t>
        </is>
      </c>
      <c r="G364" s="3" t="inlineStr">
        <is>
          <t>Black</t>
        </is>
      </c>
      <c r="H364" s="3" t="inlineStr">
        <is>
          <t>Road-250 Black, 44</t>
        </is>
      </c>
      <c r="I364" s="4" t="n">
        <v>4</v>
      </c>
      <c r="J364" s="24" t="n">
        <v>580</v>
      </c>
      <c r="K364" s="24" t="n">
        <v>920</v>
      </c>
      <c r="L364" s="25">
        <f>I364*K364</f>
        <v/>
      </c>
      <c r="M364" s="25">
        <f>I364*J364</f>
        <v/>
      </c>
      <c r="N364" s="25">
        <f>L364-M364</f>
        <v/>
      </c>
      <c r="O364" s="26">
        <f>IFERROR(N364/L364,0)</f>
        <v/>
      </c>
      <c r="P364">
        <f>YEAR(A364)</f>
        <v/>
      </c>
      <c r="Q364">
        <f>TEXT(A364,"mmm")</f>
        <v/>
      </c>
      <c r="R364">
        <f>IF(B364&lt;25,"18-24",IF(B364&lt;35,"25-34",IF(B364&lt;45,"35-44","45+")))</f>
        <v/>
      </c>
    </row>
    <row r="365">
      <c r="A365" s="23" t="n">
        <v>44505</v>
      </c>
      <c r="B365" s="3" t="n">
        <v>34</v>
      </c>
      <c r="C365" s="3" t="inlineStr">
        <is>
          <t>F</t>
        </is>
      </c>
      <c r="D365" s="3" t="inlineStr">
        <is>
          <t>Germany</t>
        </is>
      </c>
      <c r="E365" s="3" t="inlineStr">
        <is>
          <t>Hessen</t>
        </is>
      </c>
      <c r="F365" s="3" t="inlineStr">
        <is>
          <t>Road Bikes</t>
        </is>
      </c>
      <c r="G365" s="3" t="inlineStr">
        <is>
          <t>Black</t>
        </is>
      </c>
      <c r="H365" s="3" t="inlineStr">
        <is>
          <t>Road-750 Black, 48</t>
        </is>
      </c>
      <c r="I365" s="4" t="n">
        <v>1</v>
      </c>
      <c r="J365" s="24" t="n">
        <v>700</v>
      </c>
      <c r="K365" s="24" t="n">
        <v>1100</v>
      </c>
      <c r="L365" s="25">
        <f>I365*K365</f>
        <v/>
      </c>
      <c r="M365" s="25">
        <f>I365*J365</f>
        <v/>
      </c>
      <c r="N365" s="25">
        <f>L365-M365</f>
        <v/>
      </c>
      <c r="O365" s="26">
        <f>IFERROR(N365/L365,0)</f>
        <v/>
      </c>
      <c r="P365">
        <f>YEAR(A365)</f>
        <v/>
      </c>
      <c r="Q365">
        <f>TEXT(A365,"mmm")</f>
        <v/>
      </c>
      <c r="R365">
        <f>IF(B365&lt;25,"18-24",IF(B365&lt;35,"25-34",IF(B365&lt;45,"35-44","45+")))</f>
        <v/>
      </c>
    </row>
    <row r="366">
      <c r="A366" s="23" t="n">
        <v>44510</v>
      </c>
      <c r="B366" s="3" t="n">
        <v>34</v>
      </c>
      <c r="C366" s="3" t="inlineStr">
        <is>
          <t>M</t>
        </is>
      </c>
      <c r="D366" s="3" t="inlineStr">
        <is>
          <t>Germany</t>
        </is>
      </c>
      <c r="E366" s="3" t="inlineStr">
        <is>
          <t>Nordrhein-Westfalen</t>
        </is>
      </c>
      <c r="F366" s="3" t="inlineStr">
        <is>
          <t>Mountain Bikes</t>
        </is>
      </c>
      <c r="G366" s="3" t="inlineStr">
        <is>
          <t>Silver</t>
        </is>
      </c>
      <c r="H366" s="3" t="inlineStr">
        <is>
          <t>Mountain-400-W Silver, 42</t>
        </is>
      </c>
      <c r="I366" s="4" t="n">
        <v>1</v>
      </c>
      <c r="J366" s="24" t="n">
        <v>450</v>
      </c>
      <c r="K366" s="24" t="n">
        <v>720</v>
      </c>
      <c r="L366" s="25">
        <f>I366*K366</f>
        <v/>
      </c>
      <c r="M366" s="25">
        <f>I366*J366</f>
        <v/>
      </c>
      <c r="N366" s="25">
        <f>L366-M366</f>
        <v/>
      </c>
      <c r="O366" s="26">
        <f>IFERROR(N366/L366,0)</f>
        <v/>
      </c>
      <c r="P366">
        <f>YEAR(A366)</f>
        <v/>
      </c>
      <c r="Q366">
        <f>TEXT(A366,"mmm")</f>
        <v/>
      </c>
      <c r="R366">
        <f>IF(B366&lt;25,"18-24",IF(B366&lt;35,"25-34",IF(B366&lt;45,"35-44","45+")))</f>
        <v/>
      </c>
    </row>
    <row r="367">
      <c r="A367" s="23" t="n">
        <v>44511</v>
      </c>
      <c r="B367" s="3" t="n">
        <v>34</v>
      </c>
      <c r="C367" s="3" t="inlineStr">
        <is>
          <t>F</t>
        </is>
      </c>
      <c r="D367" s="3" t="inlineStr">
        <is>
          <t>Germany</t>
        </is>
      </c>
      <c r="E367" s="3" t="inlineStr">
        <is>
          <t>Hamburg</t>
        </is>
      </c>
      <c r="F367" s="3" t="inlineStr">
        <is>
          <t>Road Bikes</t>
        </is>
      </c>
      <c r="G367" s="3" t="inlineStr">
        <is>
          <t>Yellow</t>
        </is>
      </c>
      <c r="H367" s="3" t="inlineStr">
        <is>
          <t>Road-350-W Yellow, 40</t>
        </is>
      </c>
      <c r="I367" s="4" t="n">
        <v>4</v>
      </c>
      <c r="J367" s="24" t="n">
        <v>530</v>
      </c>
      <c r="K367" s="24" t="n">
        <v>840</v>
      </c>
      <c r="L367" s="25">
        <f>I367*K367</f>
        <v/>
      </c>
      <c r="M367" s="25">
        <f>I367*J367</f>
        <v/>
      </c>
      <c r="N367" s="25">
        <f>L367-M367</f>
        <v/>
      </c>
      <c r="O367" s="26">
        <f>IFERROR(N367/L367,0)</f>
        <v/>
      </c>
      <c r="P367">
        <f>YEAR(A367)</f>
        <v/>
      </c>
      <c r="Q367">
        <f>TEXT(A367,"mmm")</f>
        <v/>
      </c>
      <c r="R367">
        <f>IF(B367&lt;25,"18-24",IF(B367&lt;35,"25-34",IF(B367&lt;45,"35-44","45+")))</f>
        <v/>
      </c>
    </row>
    <row r="368">
      <c r="A368" s="23" t="n">
        <v>44515</v>
      </c>
      <c r="B368" s="3" t="n">
        <v>34</v>
      </c>
      <c r="C368" s="3" t="inlineStr">
        <is>
          <t>F</t>
        </is>
      </c>
      <c r="D368" s="3" t="inlineStr">
        <is>
          <t>United States</t>
        </is>
      </c>
      <c r="E368" s="3" t="inlineStr">
        <is>
          <t>California</t>
        </is>
      </c>
      <c r="F368" s="3" t="inlineStr">
        <is>
          <t>Road Bikes</t>
        </is>
      </c>
      <c r="G368" s="3" t="inlineStr">
        <is>
          <t>Black</t>
        </is>
      </c>
      <c r="H368" s="3" t="inlineStr">
        <is>
          <t>Road-250 Black, 52</t>
        </is>
      </c>
      <c r="I368" s="4" t="n">
        <v>1</v>
      </c>
      <c r="J368" s="24" t="n">
        <v>580</v>
      </c>
      <c r="K368" s="24" t="n">
        <v>920</v>
      </c>
      <c r="L368" s="25">
        <f>I368*K368</f>
        <v/>
      </c>
      <c r="M368" s="25">
        <f>I368*J368</f>
        <v/>
      </c>
      <c r="N368" s="25">
        <f>L368-M368</f>
        <v/>
      </c>
      <c r="O368" s="26">
        <f>IFERROR(N368/L368,0)</f>
        <v/>
      </c>
      <c r="P368">
        <f>YEAR(A368)</f>
        <v/>
      </c>
      <c r="Q368">
        <f>TEXT(A368,"mmm")</f>
        <v/>
      </c>
      <c r="R368">
        <f>IF(B368&lt;25,"18-24",IF(B368&lt;35,"25-34",IF(B368&lt;45,"35-44","45+")))</f>
        <v/>
      </c>
    </row>
    <row r="369">
      <c r="A369" s="23" t="n">
        <v>44517</v>
      </c>
      <c r="B369" s="3" t="n">
        <v>34</v>
      </c>
      <c r="C369" s="3" t="inlineStr">
        <is>
          <t>F</t>
        </is>
      </c>
      <c r="D369" s="3" t="inlineStr">
        <is>
          <t>Germany</t>
        </is>
      </c>
      <c r="E369" s="3" t="inlineStr">
        <is>
          <t>Hessen</t>
        </is>
      </c>
      <c r="F369" s="3" t="inlineStr">
        <is>
          <t>Road Bikes</t>
        </is>
      </c>
      <c r="G369" s="3" t="inlineStr">
        <is>
          <t>Black</t>
        </is>
      </c>
      <c r="H369" s="3" t="inlineStr">
        <is>
          <t>Road-750 Black, 48</t>
        </is>
      </c>
      <c r="I369" s="4" t="n">
        <v>1</v>
      </c>
      <c r="J369" s="24" t="n">
        <v>700</v>
      </c>
      <c r="K369" s="24" t="n">
        <v>1100</v>
      </c>
      <c r="L369" s="25">
        <f>I369*K369</f>
        <v/>
      </c>
      <c r="M369" s="25">
        <f>I369*J369</f>
        <v/>
      </c>
      <c r="N369" s="25">
        <f>L369-M369</f>
        <v/>
      </c>
      <c r="O369" s="26">
        <f>IFERROR(N369/L369,0)</f>
        <v/>
      </c>
      <c r="P369">
        <f>YEAR(A369)</f>
        <v/>
      </c>
      <c r="Q369">
        <f>TEXT(A369,"mmm")</f>
        <v/>
      </c>
      <c r="R369">
        <f>IF(B369&lt;25,"18-24",IF(B369&lt;35,"25-34",IF(B369&lt;45,"35-44","45+")))</f>
        <v/>
      </c>
    </row>
    <row r="370">
      <c r="A370" s="23" t="n">
        <v>44524</v>
      </c>
      <c r="B370" s="3" t="n">
        <v>34</v>
      </c>
      <c r="C370" s="3" t="inlineStr">
        <is>
          <t>F</t>
        </is>
      </c>
      <c r="D370" s="3" t="inlineStr">
        <is>
          <t>France</t>
        </is>
      </c>
      <c r="E370" s="3" t="inlineStr">
        <is>
          <t>Nord</t>
        </is>
      </c>
      <c r="F370" s="3" t="inlineStr">
        <is>
          <t>Road Bikes</t>
        </is>
      </c>
      <c r="G370" s="3" t="inlineStr">
        <is>
          <t>Red</t>
        </is>
      </c>
      <c r="H370" s="3" t="inlineStr">
        <is>
          <t>Road-150 Red, 62</t>
        </is>
      </c>
      <c r="I370" s="4" t="n">
        <v>3</v>
      </c>
      <c r="J370" s="24" t="n">
        <v>900</v>
      </c>
      <c r="K370" s="24" t="n">
        <v>1400</v>
      </c>
      <c r="L370" s="25">
        <f>I370*K370</f>
        <v/>
      </c>
      <c r="M370" s="25">
        <f>I370*J370</f>
        <v/>
      </c>
      <c r="N370" s="25">
        <f>L370-M370</f>
        <v/>
      </c>
      <c r="O370" s="26">
        <f>IFERROR(N370/L370,0)</f>
        <v/>
      </c>
      <c r="P370">
        <f>YEAR(A370)</f>
        <v/>
      </c>
      <c r="Q370">
        <f>TEXT(A370,"mmm")</f>
        <v/>
      </c>
      <c r="R370">
        <f>IF(B370&lt;25,"18-24",IF(B370&lt;35,"25-34",IF(B370&lt;45,"35-44","45+")))</f>
        <v/>
      </c>
    </row>
    <row r="371">
      <c r="A371" s="23" t="n">
        <v>44531</v>
      </c>
      <c r="B371" s="3" t="n">
        <v>34</v>
      </c>
      <c r="C371" s="3" t="inlineStr">
        <is>
          <t>M</t>
        </is>
      </c>
      <c r="D371" s="3" t="inlineStr">
        <is>
          <t>Australia</t>
        </is>
      </c>
      <c r="E371" s="3" t="inlineStr">
        <is>
          <t>New South Wales</t>
        </is>
      </c>
      <c r="F371" s="3" t="inlineStr">
        <is>
          <t>Road Bikes</t>
        </is>
      </c>
      <c r="G371" s="3" t="inlineStr">
        <is>
          <t>Yellow</t>
        </is>
      </c>
      <c r="H371" s="3" t="inlineStr">
        <is>
          <t>Road-350-W Yellow, 48</t>
        </is>
      </c>
      <c r="I371" s="4" t="n">
        <v>1</v>
      </c>
      <c r="J371" s="24" t="n">
        <v>530</v>
      </c>
      <c r="K371" s="24" t="n">
        <v>840</v>
      </c>
      <c r="L371" s="25">
        <f>I371*K371</f>
        <v/>
      </c>
      <c r="M371" s="25">
        <f>I371*J371</f>
        <v/>
      </c>
      <c r="N371" s="25">
        <f>L371-M371</f>
        <v/>
      </c>
      <c r="O371" s="26">
        <f>IFERROR(N371/L371,0)</f>
        <v/>
      </c>
      <c r="P371">
        <f>YEAR(A371)</f>
        <v/>
      </c>
      <c r="Q371">
        <f>TEXT(A371,"mmm")</f>
        <v/>
      </c>
      <c r="R371">
        <f>IF(B371&lt;25,"18-24",IF(B371&lt;35,"25-34",IF(B371&lt;45,"35-44","45+")))</f>
        <v/>
      </c>
    </row>
    <row r="372">
      <c r="A372" s="23" t="n">
        <v>44533</v>
      </c>
      <c r="B372" s="3" t="n">
        <v>34</v>
      </c>
      <c r="C372" s="3" t="inlineStr">
        <is>
          <t>F</t>
        </is>
      </c>
      <c r="D372" s="3" t="inlineStr">
        <is>
          <t>France</t>
        </is>
      </c>
      <c r="E372" s="3" t="inlineStr">
        <is>
          <t>Seine (Paris)</t>
        </is>
      </c>
      <c r="F372" s="3" t="inlineStr">
        <is>
          <t>Road Bikes</t>
        </is>
      </c>
      <c r="G372" s="3" t="inlineStr">
        <is>
          <t>Red</t>
        </is>
      </c>
      <c r="H372" s="3" t="inlineStr">
        <is>
          <t>Road-150 Red, 62</t>
        </is>
      </c>
      <c r="I372" s="4" t="n">
        <v>3</v>
      </c>
      <c r="J372" s="24" t="n">
        <v>900</v>
      </c>
      <c r="K372" s="24" t="n">
        <v>1400</v>
      </c>
      <c r="L372" s="25">
        <f>I372*K372</f>
        <v/>
      </c>
      <c r="M372" s="25">
        <f>I372*J372</f>
        <v/>
      </c>
      <c r="N372" s="25">
        <f>L372-M372</f>
        <v/>
      </c>
      <c r="O372" s="26">
        <f>IFERROR(N372/L372,0)</f>
        <v/>
      </c>
      <c r="P372">
        <f>YEAR(A372)</f>
        <v/>
      </c>
      <c r="Q372">
        <f>TEXT(A372,"mmm")</f>
        <v/>
      </c>
      <c r="R372">
        <f>IF(B372&lt;25,"18-24",IF(B372&lt;35,"25-34",IF(B372&lt;45,"35-44","45+")))</f>
        <v/>
      </c>
    </row>
    <row r="373">
      <c r="A373" s="23" t="n">
        <v>44533</v>
      </c>
      <c r="B373" s="3" t="n">
        <v>34</v>
      </c>
      <c r="C373" s="3" t="inlineStr">
        <is>
          <t>F</t>
        </is>
      </c>
      <c r="D373" s="3" t="inlineStr">
        <is>
          <t>Australia</t>
        </is>
      </c>
      <c r="E373" s="3" t="inlineStr">
        <is>
          <t>Tasmania</t>
        </is>
      </c>
      <c r="F373" s="3" t="inlineStr">
        <is>
          <t>Road Bikes</t>
        </is>
      </c>
      <c r="G373" s="3" t="inlineStr">
        <is>
          <t>Yellow</t>
        </is>
      </c>
      <c r="H373" s="3" t="inlineStr">
        <is>
          <t>Road-550-W Yellow, 40</t>
        </is>
      </c>
      <c r="I373" s="4" t="n">
        <v>2</v>
      </c>
      <c r="J373" s="24" t="n">
        <v>500</v>
      </c>
      <c r="K373" s="24" t="n">
        <v>800</v>
      </c>
      <c r="L373" s="25">
        <f>I373*K373</f>
        <v/>
      </c>
      <c r="M373" s="25">
        <f>I373*J373</f>
        <v/>
      </c>
      <c r="N373" s="25">
        <f>L373-M373</f>
        <v/>
      </c>
      <c r="O373" s="26">
        <f>IFERROR(N373/L373,0)</f>
        <v/>
      </c>
      <c r="P373">
        <f>YEAR(A373)</f>
        <v/>
      </c>
      <c r="Q373">
        <f>TEXT(A373,"mmm")</f>
        <v/>
      </c>
      <c r="R373">
        <f>IF(B373&lt;25,"18-24",IF(B373&lt;35,"25-34",IF(B373&lt;45,"35-44","45+")))</f>
        <v/>
      </c>
    </row>
    <row r="374">
      <c r="A374" s="23" t="n">
        <v>44533</v>
      </c>
      <c r="B374" s="3" t="n">
        <v>34</v>
      </c>
      <c r="C374" s="3" t="inlineStr">
        <is>
          <t>F</t>
        </is>
      </c>
      <c r="D374" s="3" t="inlineStr">
        <is>
          <t>United Kingdom</t>
        </is>
      </c>
      <c r="E374" s="3" t="inlineStr">
        <is>
          <t>England</t>
        </is>
      </c>
      <c r="F374" s="3" t="inlineStr">
        <is>
          <t>Road Bikes</t>
        </is>
      </c>
      <c r="G374" s="3" t="inlineStr">
        <is>
          <t>Yellow</t>
        </is>
      </c>
      <c r="H374" s="3" t="inlineStr">
        <is>
          <t>Road-350-W Yellow, 42</t>
        </is>
      </c>
      <c r="I374" s="4" t="n">
        <v>1</v>
      </c>
      <c r="J374" s="24" t="n">
        <v>530</v>
      </c>
      <c r="K374" s="24" t="n">
        <v>840</v>
      </c>
      <c r="L374" s="25">
        <f>I374*K374</f>
        <v/>
      </c>
      <c r="M374" s="25">
        <f>I374*J374</f>
        <v/>
      </c>
      <c r="N374" s="25">
        <f>L374-M374</f>
        <v/>
      </c>
      <c r="O374" s="26">
        <f>IFERROR(N374/L374,0)</f>
        <v/>
      </c>
      <c r="P374">
        <f>YEAR(A374)</f>
        <v/>
      </c>
      <c r="Q374">
        <f>TEXT(A374,"mmm")</f>
        <v/>
      </c>
      <c r="R374">
        <f>IF(B374&lt;25,"18-24",IF(B374&lt;35,"25-34",IF(B374&lt;45,"35-44","45+")))</f>
        <v/>
      </c>
    </row>
    <row r="375">
      <c r="A375" s="23" t="n">
        <v>44539</v>
      </c>
      <c r="B375" s="3" t="n">
        <v>34</v>
      </c>
      <c r="C375" s="3" t="inlineStr">
        <is>
          <t>M</t>
        </is>
      </c>
      <c r="D375" s="3" t="inlineStr">
        <is>
          <t>Australia</t>
        </is>
      </c>
      <c r="E375" s="3" t="inlineStr">
        <is>
          <t>Queensland</t>
        </is>
      </c>
      <c r="F375" s="3" t="inlineStr">
        <is>
          <t>Road Bikes</t>
        </is>
      </c>
      <c r="G375" s="3" t="inlineStr">
        <is>
          <t>Black</t>
        </is>
      </c>
      <c r="H375" s="3" t="inlineStr">
        <is>
          <t>Road-250 Black, 58</t>
        </is>
      </c>
      <c r="I375" s="4" t="n">
        <v>2</v>
      </c>
      <c r="J375" s="24" t="n">
        <v>580</v>
      </c>
      <c r="K375" s="24" t="n">
        <v>920</v>
      </c>
      <c r="L375" s="25">
        <f>I375*K375</f>
        <v/>
      </c>
      <c r="M375" s="25">
        <f>I375*J375</f>
        <v/>
      </c>
      <c r="N375" s="25">
        <f>L375-M375</f>
        <v/>
      </c>
      <c r="O375" s="26">
        <f>IFERROR(N375/L375,0)</f>
        <v/>
      </c>
      <c r="P375">
        <f>YEAR(A375)</f>
        <v/>
      </c>
      <c r="Q375">
        <f>TEXT(A375,"mmm")</f>
        <v/>
      </c>
      <c r="R375">
        <f>IF(B375&lt;25,"18-24",IF(B375&lt;35,"25-34",IF(B375&lt;45,"35-44","45+")))</f>
        <v/>
      </c>
    </row>
    <row r="376">
      <c r="A376" s="23" t="n">
        <v>44540</v>
      </c>
      <c r="B376" s="3" t="n">
        <v>34</v>
      </c>
      <c r="C376" s="3" t="inlineStr">
        <is>
          <t>M</t>
        </is>
      </c>
      <c r="D376" s="3" t="inlineStr">
        <is>
          <t>United Kingdom</t>
        </is>
      </c>
      <c r="E376" s="3" t="inlineStr">
        <is>
          <t>England</t>
        </is>
      </c>
      <c r="F376" s="3" t="inlineStr">
        <is>
          <t>Road Bikes</t>
        </is>
      </c>
      <c r="G376" s="3" t="inlineStr">
        <is>
          <t>Yellow</t>
        </is>
      </c>
      <c r="H376" s="3" t="inlineStr">
        <is>
          <t>Road-550-W Yellow, 44</t>
        </is>
      </c>
      <c r="I376" s="4" t="n">
        <v>3</v>
      </c>
      <c r="J376" s="24" t="n">
        <v>500</v>
      </c>
      <c r="K376" s="24" t="n">
        <v>800</v>
      </c>
      <c r="L376" s="25">
        <f>I376*K376</f>
        <v/>
      </c>
      <c r="M376" s="25">
        <f>I376*J376</f>
        <v/>
      </c>
      <c r="N376" s="25">
        <f>L376-M376</f>
        <v/>
      </c>
      <c r="O376" s="26">
        <f>IFERROR(N376/L376,0)</f>
        <v/>
      </c>
      <c r="P376">
        <f>YEAR(A376)</f>
        <v/>
      </c>
      <c r="Q376">
        <f>TEXT(A376,"mmm")</f>
        <v/>
      </c>
      <c r="R376">
        <f>IF(B376&lt;25,"18-24",IF(B376&lt;35,"25-34",IF(B376&lt;45,"35-44","45+")))</f>
        <v/>
      </c>
    </row>
    <row r="377">
      <c r="A377" s="23" t="n">
        <v>44540</v>
      </c>
      <c r="B377" s="3" t="n">
        <v>34</v>
      </c>
      <c r="C377" s="3" t="inlineStr">
        <is>
          <t>F</t>
        </is>
      </c>
      <c r="D377" s="3" t="inlineStr">
        <is>
          <t>United States</t>
        </is>
      </c>
      <c r="E377" s="3" t="inlineStr">
        <is>
          <t>California</t>
        </is>
      </c>
      <c r="F377" s="3" t="inlineStr">
        <is>
          <t>Mountain Bikes</t>
        </is>
      </c>
      <c r="G377" s="3" t="inlineStr">
        <is>
          <t>Black</t>
        </is>
      </c>
      <c r="H377" s="3" t="inlineStr">
        <is>
          <t>Mountain-200 Black, 42</t>
        </is>
      </c>
      <c r="I377" s="4" t="n">
        <v>2</v>
      </c>
      <c r="J377" s="24" t="n">
        <v>550</v>
      </c>
      <c r="K377" s="24" t="n">
        <v>850</v>
      </c>
      <c r="L377" s="25">
        <f>I377*K377</f>
        <v/>
      </c>
      <c r="M377" s="25">
        <f>I377*J377</f>
        <v/>
      </c>
      <c r="N377" s="25">
        <f>L377-M377</f>
        <v/>
      </c>
      <c r="O377" s="26">
        <f>IFERROR(N377/L377,0)</f>
        <v/>
      </c>
      <c r="P377">
        <f>YEAR(A377)</f>
        <v/>
      </c>
      <c r="Q377">
        <f>TEXT(A377,"mmm")</f>
        <v/>
      </c>
      <c r="R377">
        <f>IF(B377&lt;25,"18-24",IF(B377&lt;35,"25-34",IF(B377&lt;45,"35-44","45+")))</f>
        <v/>
      </c>
    </row>
    <row r="378">
      <c r="A378" s="23" t="n">
        <v>44540</v>
      </c>
      <c r="B378" s="3" t="n">
        <v>34</v>
      </c>
      <c r="C378" s="3" t="inlineStr">
        <is>
          <t>M</t>
        </is>
      </c>
      <c r="D378" s="3" t="inlineStr">
        <is>
          <t>United States</t>
        </is>
      </c>
      <c r="E378" s="3" t="inlineStr">
        <is>
          <t>California</t>
        </is>
      </c>
      <c r="F378" s="3" t="inlineStr">
        <is>
          <t>Mountain Bikes</t>
        </is>
      </c>
      <c r="G378" s="3" t="inlineStr">
        <is>
          <t>Black</t>
        </is>
      </c>
      <c r="H378" s="3" t="inlineStr">
        <is>
          <t>Mountain-500 Black, 40</t>
        </is>
      </c>
      <c r="I378" s="4" t="n">
        <v>1</v>
      </c>
      <c r="J378" s="24" t="n">
        <v>480</v>
      </c>
      <c r="K378" s="24" t="n">
        <v>760</v>
      </c>
      <c r="L378" s="25">
        <f>I378*K378</f>
        <v/>
      </c>
      <c r="M378" s="25">
        <f>I378*J378</f>
        <v/>
      </c>
      <c r="N378" s="25">
        <f>L378-M378</f>
        <v/>
      </c>
      <c r="O378" s="26">
        <f>IFERROR(N378/L378,0)</f>
        <v/>
      </c>
      <c r="P378">
        <f>YEAR(A378)</f>
        <v/>
      </c>
      <c r="Q378">
        <f>TEXT(A378,"mmm")</f>
        <v/>
      </c>
      <c r="R378">
        <f>IF(B378&lt;25,"18-24",IF(B378&lt;35,"25-34",IF(B378&lt;45,"35-44","45+")))</f>
        <v/>
      </c>
    </row>
    <row r="379">
      <c r="A379" s="23" t="n">
        <v>44540</v>
      </c>
      <c r="B379" s="3" t="n">
        <v>34</v>
      </c>
      <c r="C379" s="3" t="inlineStr">
        <is>
          <t>F</t>
        </is>
      </c>
      <c r="D379" s="3" t="inlineStr">
        <is>
          <t>United States</t>
        </is>
      </c>
      <c r="E379" s="3" t="inlineStr">
        <is>
          <t>Washington</t>
        </is>
      </c>
      <c r="F379" s="3" t="inlineStr">
        <is>
          <t>Mountain Bikes</t>
        </is>
      </c>
      <c r="G379" s="3" t="inlineStr">
        <is>
          <t>Silver</t>
        </is>
      </c>
      <c r="H379" s="3" t="inlineStr">
        <is>
          <t>Mountain-100 Silver, 44</t>
        </is>
      </c>
      <c r="I379" s="4" t="n">
        <v>1</v>
      </c>
      <c r="J379" s="24" t="n">
        <v>400</v>
      </c>
      <c r="K379" s="24" t="n">
        <v>650</v>
      </c>
      <c r="L379" s="25">
        <f>I379*K379</f>
        <v/>
      </c>
      <c r="M379" s="25">
        <f>I379*J379</f>
        <v/>
      </c>
      <c r="N379" s="25">
        <f>L379-M379</f>
        <v/>
      </c>
      <c r="O379" s="26">
        <f>IFERROR(N379/L379,0)</f>
        <v/>
      </c>
      <c r="P379">
        <f>YEAR(A379)</f>
        <v/>
      </c>
      <c r="Q379">
        <f>TEXT(A379,"mmm")</f>
        <v/>
      </c>
      <c r="R379">
        <f>IF(B379&lt;25,"18-24",IF(B379&lt;35,"25-34",IF(B379&lt;45,"35-44","45+")))</f>
        <v/>
      </c>
    </row>
    <row r="380">
      <c r="A380" s="23" t="n">
        <v>44542</v>
      </c>
      <c r="B380" s="3" t="n">
        <v>34</v>
      </c>
      <c r="C380" s="3" t="inlineStr">
        <is>
          <t>M</t>
        </is>
      </c>
      <c r="D380" s="3" t="inlineStr">
        <is>
          <t>Australia</t>
        </is>
      </c>
      <c r="E380" s="3" t="inlineStr">
        <is>
          <t>New South Wales</t>
        </is>
      </c>
      <c r="F380" s="3" t="inlineStr">
        <is>
          <t>Mountain Bikes</t>
        </is>
      </c>
      <c r="G380" s="3" t="inlineStr">
        <is>
          <t>Black</t>
        </is>
      </c>
      <c r="H380" s="3" t="inlineStr">
        <is>
          <t>Mountain-200 Black, 38</t>
        </is>
      </c>
      <c r="I380" s="4" t="n">
        <v>2</v>
      </c>
      <c r="J380" s="24" t="n">
        <v>550</v>
      </c>
      <c r="K380" s="24" t="n">
        <v>850</v>
      </c>
      <c r="L380" s="25">
        <f>I380*K380</f>
        <v/>
      </c>
      <c r="M380" s="25">
        <f>I380*J380</f>
        <v/>
      </c>
      <c r="N380" s="25">
        <f>L380-M380</f>
        <v/>
      </c>
      <c r="O380" s="26">
        <f>IFERROR(N380/L380,0)</f>
        <v/>
      </c>
      <c r="P380">
        <f>YEAR(A380)</f>
        <v/>
      </c>
      <c r="Q380">
        <f>TEXT(A380,"mmm")</f>
        <v/>
      </c>
      <c r="R380">
        <f>IF(B380&lt;25,"18-24",IF(B380&lt;35,"25-34",IF(B380&lt;45,"35-44","45+")))</f>
        <v/>
      </c>
    </row>
    <row r="381">
      <c r="A381" s="23" t="n">
        <v>44542</v>
      </c>
      <c r="B381" s="3" t="n">
        <v>34</v>
      </c>
      <c r="C381" s="3" t="inlineStr">
        <is>
          <t>M</t>
        </is>
      </c>
      <c r="D381" s="3" t="inlineStr">
        <is>
          <t>Germany</t>
        </is>
      </c>
      <c r="E381" s="3" t="inlineStr">
        <is>
          <t>Saarland</t>
        </is>
      </c>
      <c r="F381" s="3" t="inlineStr">
        <is>
          <t>Road Bikes</t>
        </is>
      </c>
      <c r="G381" s="3" t="inlineStr">
        <is>
          <t>Red</t>
        </is>
      </c>
      <c r="H381" s="3" t="inlineStr">
        <is>
          <t>Road-650 Red, 48</t>
        </is>
      </c>
      <c r="I381" s="4" t="n">
        <v>1</v>
      </c>
      <c r="J381" s="24" t="n">
        <v>620</v>
      </c>
      <c r="K381" s="24" t="n">
        <v>980</v>
      </c>
      <c r="L381" s="25">
        <f>I381*K381</f>
        <v/>
      </c>
      <c r="M381" s="25">
        <f>I381*J381</f>
        <v/>
      </c>
      <c r="N381" s="25">
        <f>L381-M381</f>
        <v/>
      </c>
      <c r="O381" s="26">
        <f>IFERROR(N381/L381,0)</f>
        <v/>
      </c>
      <c r="P381">
        <f>YEAR(A381)</f>
        <v/>
      </c>
      <c r="Q381">
        <f>TEXT(A381,"mmm")</f>
        <v/>
      </c>
      <c r="R381">
        <f>IF(B381&lt;25,"18-24",IF(B381&lt;35,"25-34",IF(B381&lt;45,"35-44","45+")))</f>
        <v/>
      </c>
    </row>
    <row r="382">
      <c r="A382" s="23" t="n">
        <v>44550</v>
      </c>
      <c r="B382" s="3" t="n">
        <v>34</v>
      </c>
      <c r="C382" s="3" t="inlineStr">
        <is>
          <t>F</t>
        </is>
      </c>
      <c r="D382" s="3" t="inlineStr">
        <is>
          <t>United Kingdom</t>
        </is>
      </c>
      <c r="E382" s="3" t="inlineStr">
        <is>
          <t>England</t>
        </is>
      </c>
      <c r="F382" s="3" t="inlineStr">
        <is>
          <t>Road Bikes</t>
        </is>
      </c>
      <c r="G382" s="3" t="inlineStr">
        <is>
          <t>Yellow</t>
        </is>
      </c>
      <c r="H382" s="3" t="inlineStr">
        <is>
          <t>Road-350-W Yellow, 42</t>
        </is>
      </c>
      <c r="I382" s="4" t="n">
        <v>4</v>
      </c>
      <c r="J382" s="24" t="n">
        <v>530</v>
      </c>
      <c r="K382" s="24" t="n">
        <v>840</v>
      </c>
      <c r="L382" s="25">
        <f>I382*K382</f>
        <v/>
      </c>
      <c r="M382" s="25">
        <f>I382*J382</f>
        <v/>
      </c>
      <c r="N382" s="25">
        <f>L382-M382</f>
        <v/>
      </c>
      <c r="O382" s="26">
        <f>IFERROR(N382/L382,0)</f>
        <v/>
      </c>
      <c r="P382">
        <f>YEAR(A382)</f>
        <v/>
      </c>
      <c r="Q382">
        <f>TEXT(A382,"mmm")</f>
        <v/>
      </c>
      <c r="R382">
        <f>IF(B382&lt;25,"18-24",IF(B382&lt;35,"25-34",IF(B382&lt;45,"35-44","45+")))</f>
        <v/>
      </c>
    </row>
    <row r="383">
      <c r="A383" s="23" t="n">
        <v>44553</v>
      </c>
      <c r="B383" s="3" t="n">
        <v>34</v>
      </c>
      <c r="C383" s="3" t="inlineStr">
        <is>
          <t>M</t>
        </is>
      </c>
      <c r="D383" s="3" t="inlineStr">
        <is>
          <t>Australia</t>
        </is>
      </c>
      <c r="E383" s="3" t="inlineStr">
        <is>
          <t>Queensland</t>
        </is>
      </c>
      <c r="F383" s="3" t="inlineStr">
        <is>
          <t>Road Bikes</t>
        </is>
      </c>
      <c r="G383" s="3" t="inlineStr">
        <is>
          <t>Black</t>
        </is>
      </c>
      <c r="H383" s="3" t="inlineStr">
        <is>
          <t>Road-250 Black, 58</t>
        </is>
      </c>
      <c r="I383" s="4" t="n">
        <v>2</v>
      </c>
      <c r="J383" s="24" t="n">
        <v>580</v>
      </c>
      <c r="K383" s="24" t="n">
        <v>920</v>
      </c>
      <c r="L383" s="25">
        <f>I383*K383</f>
        <v/>
      </c>
      <c r="M383" s="25">
        <f>I383*J383</f>
        <v/>
      </c>
      <c r="N383" s="25">
        <f>L383-M383</f>
        <v/>
      </c>
      <c r="O383" s="26">
        <f>IFERROR(N383/L383,0)</f>
        <v/>
      </c>
      <c r="P383">
        <f>YEAR(A383)</f>
        <v/>
      </c>
      <c r="Q383">
        <f>TEXT(A383,"mmm")</f>
        <v/>
      </c>
      <c r="R383">
        <f>IF(B383&lt;25,"18-24",IF(B383&lt;35,"25-34",IF(B383&lt;45,"35-44","45+")))</f>
        <v/>
      </c>
    </row>
    <row r="384">
      <c r="A384" s="23" t="n">
        <v>44553</v>
      </c>
      <c r="B384" s="3" t="n">
        <v>34</v>
      </c>
      <c r="C384" s="3" t="inlineStr">
        <is>
          <t>F</t>
        </is>
      </c>
      <c r="D384" s="3" t="inlineStr">
        <is>
          <t>Australia</t>
        </is>
      </c>
      <c r="E384" s="3" t="inlineStr">
        <is>
          <t>South Australia</t>
        </is>
      </c>
      <c r="F384" s="3" t="inlineStr">
        <is>
          <t>Road Bikes</t>
        </is>
      </c>
      <c r="G384" s="3" t="inlineStr">
        <is>
          <t>Yellow</t>
        </is>
      </c>
      <c r="H384" s="3" t="inlineStr">
        <is>
          <t>Road-550-W Yellow, 40</t>
        </is>
      </c>
      <c r="I384" s="4" t="n">
        <v>2</v>
      </c>
      <c r="J384" s="24" t="n">
        <v>500</v>
      </c>
      <c r="K384" s="24" t="n">
        <v>800</v>
      </c>
      <c r="L384" s="25">
        <f>I384*K384</f>
        <v/>
      </c>
      <c r="M384" s="25">
        <f>I384*J384</f>
        <v/>
      </c>
      <c r="N384" s="25">
        <f>L384-M384</f>
        <v/>
      </c>
      <c r="O384" s="26">
        <f>IFERROR(N384/L384,0)</f>
        <v/>
      </c>
      <c r="P384">
        <f>YEAR(A384)</f>
        <v/>
      </c>
      <c r="Q384">
        <f>TEXT(A384,"mmm")</f>
        <v/>
      </c>
      <c r="R384">
        <f>IF(B384&lt;25,"18-24",IF(B384&lt;35,"25-34",IF(B384&lt;45,"35-44","45+")))</f>
        <v/>
      </c>
    </row>
    <row r="385">
      <c r="A385" s="23" t="n">
        <v>44554</v>
      </c>
      <c r="B385" s="3" t="n">
        <v>34</v>
      </c>
      <c r="C385" s="3" t="inlineStr">
        <is>
          <t>F</t>
        </is>
      </c>
      <c r="D385" s="3" t="inlineStr">
        <is>
          <t>United States</t>
        </is>
      </c>
      <c r="E385" s="3" t="inlineStr">
        <is>
          <t>California</t>
        </is>
      </c>
      <c r="F385" s="3" t="inlineStr">
        <is>
          <t>Mountain Bikes</t>
        </is>
      </c>
      <c r="G385" s="3" t="inlineStr">
        <is>
          <t>Black</t>
        </is>
      </c>
      <c r="H385" s="3" t="inlineStr">
        <is>
          <t>Mountain-200 Black, 42</t>
        </is>
      </c>
      <c r="I385" s="4" t="n">
        <v>1</v>
      </c>
      <c r="J385" s="24" t="n">
        <v>550</v>
      </c>
      <c r="K385" s="24" t="n">
        <v>850</v>
      </c>
      <c r="L385" s="25">
        <f>I385*K385</f>
        <v/>
      </c>
      <c r="M385" s="25">
        <f>I385*J385</f>
        <v/>
      </c>
      <c r="N385" s="25">
        <f>L385-M385</f>
        <v/>
      </c>
      <c r="O385" s="26">
        <f>IFERROR(N385/L385,0)</f>
        <v/>
      </c>
      <c r="P385">
        <f>YEAR(A385)</f>
        <v/>
      </c>
      <c r="Q385">
        <f>TEXT(A385,"mmm")</f>
        <v/>
      </c>
      <c r="R385">
        <f>IF(B385&lt;25,"18-24",IF(B385&lt;35,"25-34",IF(B385&lt;45,"35-44","45+")))</f>
        <v/>
      </c>
    </row>
    <row r="386">
      <c r="A386" s="23" t="n">
        <v>44555</v>
      </c>
      <c r="B386" s="3" t="n">
        <v>34</v>
      </c>
      <c r="C386" s="3" t="inlineStr">
        <is>
          <t>F</t>
        </is>
      </c>
      <c r="D386" s="3" t="inlineStr">
        <is>
          <t>Australia</t>
        </is>
      </c>
      <c r="E386" s="3" t="inlineStr">
        <is>
          <t>Queensland</t>
        </is>
      </c>
      <c r="F386" s="3" t="inlineStr">
        <is>
          <t>Road Bikes</t>
        </is>
      </c>
      <c r="G386" s="3" t="inlineStr">
        <is>
          <t>Red</t>
        </is>
      </c>
      <c r="H386" s="3" t="inlineStr">
        <is>
          <t>Road-150 Red, 62</t>
        </is>
      </c>
      <c r="I386" s="4" t="n">
        <v>1</v>
      </c>
      <c r="J386" s="24" t="n">
        <v>900</v>
      </c>
      <c r="K386" s="24" t="n">
        <v>1400</v>
      </c>
      <c r="L386" s="25">
        <f>I386*K386</f>
        <v/>
      </c>
      <c r="M386" s="25">
        <f>I386*J386</f>
        <v/>
      </c>
      <c r="N386" s="25">
        <f>L386-M386</f>
        <v/>
      </c>
      <c r="O386" s="26">
        <f>IFERROR(N386/L386,0)</f>
        <v/>
      </c>
      <c r="P386">
        <f>YEAR(A386)</f>
        <v/>
      </c>
      <c r="Q386">
        <f>TEXT(A386,"mmm")</f>
        <v/>
      </c>
      <c r="R386">
        <f>IF(B386&lt;25,"18-24",IF(B386&lt;35,"25-34",IF(B386&lt;45,"35-44","45+")))</f>
        <v/>
      </c>
    </row>
    <row r="387">
      <c r="A387" s="23" t="n">
        <v>44556</v>
      </c>
      <c r="B387" s="3" t="n">
        <v>34</v>
      </c>
      <c r="C387" s="3" t="inlineStr">
        <is>
          <t>M</t>
        </is>
      </c>
      <c r="D387" s="3" t="inlineStr">
        <is>
          <t>United States</t>
        </is>
      </c>
      <c r="E387" s="3" t="inlineStr">
        <is>
          <t>California</t>
        </is>
      </c>
      <c r="F387" s="3" t="inlineStr">
        <is>
          <t>Mountain Bikes</t>
        </is>
      </c>
      <c r="G387" s="3" t="inlineStr">
        <is>
          <t>Black</t>
        </is>
      </c>
      <c r="H387" s="3" t="inlineStr">
        <is>
          <t>Mountain-500 Black, 40</t>
        </is>
      </c>
      <c r="I387" s="4" t="n">
        <v>1</v>
      </c>
      <c r="J387" s="24" t="n">
        <v>480</v>
      </c>
      <c r="K387" s="24" t="n">
        <v>760</v>
      </c>
      <c r="L387" s="25">
        <f>I387*K387</f>
        <v/>
      </c>
      <c r="M387" s="25">
        <f>I387*J387</f>
        <v/>
      </c>
      <c r="N387" s="25">
        <f>L387-M387</f>
        <v/>
      </c>
      <c r="O387" s="26">
        <f>IFERROR(N387/L387,0)</f>
        <v/>
      </c>
      <c r="P387">
        <f>YEAR(A387)</f>
        <v/>
      </c>
      <c r="Q387">
        <f>TEXT(A387,"mmm")</f>
        <v/>
      </c>
      <c r="R387">
        <f>IF(B387&lt;25,"18-24",IF(B387&lt;35,"25-34",IF(B387&lt;45,"35-44","45+")))</f>
        <v/>
      </c>
    </row>
    <row r="388">
      <c r="A388" s="23" t="n">
        <v>44558</v>
      </c>
      <c r="B388" s="3" t="n">
        <v>34</v>
      </c>
      <c r="C388" s="3" t="inlineStr">
        <is>
          <t>M</t>
        </is>
      </c>
      <c r="D388" s="3" t="inlineStr">
        <is>
          <t>Australia</t>
        </is>
      </c>
      <c r="E388" s="3" t="inlineStr">
        <is>
          <t>Victoria</t>
        </is>
      </c>
      <c r="F388" s="3" t="inlineStr">
        <is>
          <t>Mountain Bikes</t>
        </is>
      </c>
      <c r="G388" s="3" t="inlineStr">
        <is>
          <t>Black</t>
        </is>
      </c>
      <c r="H388" s="3" t="inlineStr">
        <is>
          <t>Mountain-100 Black, 42</t>
        </is>
      </c>
      <c r="I388" s="4" t="n">
        <v>1</v>
      </c>
      <c r="J388" s="24" t="n">
        <v>400</v>
      </c>
      <c r="K388" s="24" t="n">
        <v>650</v>
      </c>
      <c r="L388" s="25">
        <f>I388*K388</f>
        <v/>
      </c>
      <c r="M388" s="25">
        <f>I388*J388</f>
        <v/>
      </c>
      <c r="N388" s="25">
        <f>L388-M388</f>
        <v/>
      </c>
      <c r="O388" s="26">
        <f>IFERROR(N388/L388,0)</f>
        <v/>
      </c>
      <c r="P388">
        <f>YEAR(A388)</f>
        <v/>
      </c>
      <c r="Q388">
        <f>TEXT(A388,"mmm")</f>
        <v/>
      </c>
      <c r="R388">
        <f>IF(B388&lt;25,"18-24",IF(B388&lt;35,"25-34",IF(B388&lt;45,"35-44","45+")))</f>
        <v/>
      </c>
    </row>
    <row r="389">
      <c r="A389" s="23" t="n">
        <v>44559</v>
      </c>
      <c r="B389" s="3" t="n">
        <v>34</v>
      </c>
      <c r="C389" s="3" t="inlineStr">
        <is>
          <t>M</t>
        </is>
      </c>
      <c r="D389" s="3" t="inlineStr">
        <is>
          <t>United Kingdom</t>
        </is>
      </c>
      <c r="E389" s="3" t="inlineStr">
        <is>
          <t>England</t>
        </is>
      </c>
      <c r="F389" s="3" t="inlineStr">
        <is>
          <t>Road Bikes</t>
        </is>
      </c>
      <c r="G389" s="3" t="inlineStr">
        <is>
          <t>Yellow</t>
        </is>
      </c>
      <c r="H389" s="3" t="inlineStr">
        <is>
          <t>Road-550-W Yellow, 44</t>
        </is>
      </c>
      <c r="I389" s="4" t="n">
        <v>1</v>
      </c>
      <c r="J389" s="24" t="n">
        <v>500</v>
      </c>
      <c r="K389" s="24" t="n">
        <v>800</v>
      </c>
      <c r="L389" s="25">
        <f>I389*K389</f>
        <v/>
      </c>
      <c r="M389" s="25">
        <f>I389*J389</f>
        <v/>
      </c>
      <c r="N389" s="25">
        <f>L389-M389</f>
        <v/>
      </c>
      <c r="O389" s="26">
        <f>IFERROR(N389/L389,0)</f>
        <v/>
      </c>
      <c r="P389">
        <f>YEAR(A389)</f>
        <v/>
      </c>
      <c r="Q389">
        <f>TEXT(A389,"mmm")</f>
        <v/>
      </c>
      <c r="R389">
        <f>IF(B389&lt;25,"18-24",IF(B389&lt;35,"25-34",IF(B389&lt;45,"35-44","45+")))</f>
        <v/>
      </c>
    </row>
    <row r="390">
      <c r="A390" s="23" t="n">
        <v>44477</v>
      </c>
      <c r="B390" s="3" t="n">
        <v>35</v>
      </c>
      <c r="C390" s="3" t="inlineStr">
        <is>
          <t>F</t>
        </is>
      </c>
      <c r="D390" s="3" t="inlineStr">
        <is>
          <t>Canada</t>
        </is>
      </c>
      <c r="E390" s="3" t="inlineStr">
        <is>
          <t>British Columbia</t>
        </is>
      </c>
      <c r="F390" s="3" t="inlineStr">
        <is>
          <t>Road Bikes</t>
        </is>
      </c>
      <c r="G390" s="3" t="inlineStr">
        <is>
          <t>Black</t>
        </is>
      </c>
      <c r="H390" s="3" t="inlineStr">
        <is>
          <t>Road-750 Black, 52</t>
        </is>
      </c>
      <c r="I390" s="4" t="n">
        <v>4</v>
      </c>
      <c r="J390" s="24" t="n">
        <v>700</v>
      </c>
      <c r="K390" s="24" t="n">
        <v>1100</v>
      </c>
      <c r="L390" s="25">
        <f>I390*K390</f>
        <v/>
      </c>
      <c r="M390" s="25">
        <f>I390*J390</f>
        <v/>
      </c>
      <c r="N390" s="25">
        <f>L390-M390</f>
        <v/>
      </c>
      <c r="O390" s="26">
        <f>IFERROR(N390/L390,0)</f>
        <v/>
      </c>
      <c r="P390">
        <f>YEAR(A390)</f>
        <v/>
      </c>
      <c r="Q390">
        <f>TEXT(A390,"mmm")</f>
        <v/>
      </c>
      <c r="R390">
        <f>IF(B390&lt;25,"18-24",IF(B390&lt;35,"25-34",IF(B390&lt;45,"35-44","45+")))</f>
        <v/>
      </c>
    </row>
    <row r="391">
      <c r="A391" s="23" t="n">
        <v>44480</v>
      </c>
      <c r="B391" s="3" t="n">
        <v>35</v>
      </c>
      <c r="C391" s="3" t="inlineStr">
        <is>
          <t>M</t>
        </is>
      </c>
      <c r="D391" s="3" t="inlineStr">
        <is>
          <t>Australia</t>
        </is>
      </c>
      <c r="E391" s="3" t="inlineStr">
        <is>
          <t>Tasmania</t>
        </is>
      </c>
      <c r="F391" s="3" t="inlineStr">
        <is>
          <t>Road Bikes</t>
        </is>
      </c>
      <c r="G391" s="3" t="inlineStr">
        <is>
          <t>Yellow</t>
        </is>
      </c>
      <c r="H391" s="3" t="inlineStr">
        <is>
          <t>Road-350-W Yellow, 48</t>
        </is>
      </c>
      <c r="I391" s="4" t="n">
        <v>1</v>
      </c>
      <c r="J391" s="24" t="n">
        <v>530</v>
      </c>
      <c r="K391" s="24" t="n">
        <v>840</v>
      </c>
      <c r="L391" s="25">
        <f>I391*K391</f>
        <v/>
      </c>
      <c r="M391" s="25">
        <f>I391*J391</f>
        <v/>
      </c>
      <c r="N391" s="25">
        <f>L391-M391</f>
        <v/>
      </c>
      <c r="O391" s="26">
        <f>IFERROR(N391/L391,0)</f>
        <v/>
      </c>
      <c r="P391">
        <f>YEAR(A391)</f>
        <v/>
      </c>
      <c r="Q391">
        <f>TEXT(A391,"mmm")</f>
        <v/>
      </c>
      <c r="R391">
        <f>IF(B391&lt;25,"18-24",IF(B391&lt;35,"25-34",IF(B391&lt;45,"35-44","45+")))</f>
        <v/>
      </c>
    </row>
    <row r="392">
      <c r="A392" s="23" t="n">
        <v>44489</v>
      </c>
      <c r="B392" s="3" t="n">
        <v>35</v>
      </c>
      <c r="C392" s="3" t="inlineStr">
        <is>
          <t>F</t>
        </is>
      </c>
      <c r="D392" s="3" t="inlineStr">
        <is>
          <t>Canada</t>
        </is>
      </c>
      <c r="E392" s="3" t="inlineStr">
        <is>
          <t>British Columbia</t>
        </is>
      </c>
      <c r="F392" s="3" t="inlineStr">
        <is>
          <t>Road Bikes</t>
        </is>
      </c>
      <c r="G392" s="3" t="inlineStr">
        <is>
          <t>Black</t>
        </is>
      </c>
      <c r="H392" s="3" t="inlineStr">
        <is>
          <t>Road-750 Black, 52</t>
        </is>
      </c>
      <c r="I392" s="4" t="n">
        <v>1</v>
      </c>
      <c r="J392" s="24" t="n">
        <v>700</v>
      </c>
      <c r="K392" s="24" t="n">
        <v>1100</v>
      </c>
      <c r="L392" s="25">
        <f>I392*K392</f>
        <v/>
      </c>
      <c r="M392" s="25">
        <f>I392*J392</f>
        <v/>
      </c>
      <c r="N392" s="25">
        <f>L392-M392</f>
        <v/>
      </c>
      <c r="O392" s="26">
        <f>IFERROR(N392/L392,0)</f>
        <v/>
      </c>
      <c r="P392">
        <f>YEAR(A392)</f>
        <v/>
      </c>
      <c r="Q392">
        <f>TEXT(A392,"mmm")</f>
        <v/>
      </c>
      <c r="R392">
        <f>IF(B392&lt;25,"18-24",IF(B392&lt;35,"25-34",IF(B392&lt;45,"35-44","45+")))</f>
        <v/>
      </c>
    </row>
    <row r="393">
      <c r="A393" s="23" t="n">
        <v>44491</v>
      </c>
      <c r="B393" s="3" t="n">
        <v>35</v>
      </c>
      <c r="C393" s="3" t="inlineStr">
        <is>
          <t>M</t>
        </is>
      </c>
      <c r="D393" s="3" t="inlineStr">
        <is>
          <t>Canada</t>
        </is>
      </c>
      <c r="E393" s="3" t="inlineStr">
        <is>
          <t>British Columbia</t>
        </is>
      </c>
      <c r="F393" s="3" t="inlineStr">
        <is>
          <t>Road Bikes</t>
        </is>
      </c>
      <c r="G393" s="3" t="inlineStr">
        <is>
          <t>Black</t>
        </is>
      </c>
      <c r="H393" s="3" t="inlineStr">
        <is>
          <t>Road-750 Black, 52</t>
        </is>
      </c>
      <c r="I393" s="4" t="n">
        <v>2</v>
      </c>
      <c r="J393" s="24" t="n">
        <v>700</v>
      </c>
      <c r="K393" s="24" t="n">
        <v>1100</v>
      </c>
      <c r="L393" s="25">
        <f>I393*K393</f>
        <v/>
      </c>
      <c r="M393" s="25">
        <f>I393*J393</f>
        <v/>
      </c>
      <c r="N393" s="25">
        <f>L393-M393</f>
        <v/>
      </c>
      <c r="O393" s="26">
        <f>IFERROR(N393/L393,0)</f>
        <v/>
      </c>
      <c r="P393">
        <f>YEAR(A393)</f>
        <v/>
      </c>
      <c r="Q393">
        <f>TEXT(A393,"mmm")</f>
        <v/>
      </c>
      <c r="R393">
        <f>IF(B393&lt;25,"18-24",IF(B393&lt;35,"25-34",IF(B393&lt;45,"35-44","45+")))</f>
        <v/>
      </c>
    </row>
    <row r="394">
      <c r="A394" s="23" t="n">
        <v>44506</v>
      </c>
      <c r="B394" s="3" t="n">
        <v>35</v>
      </c>
      <c r="C394" s="3" t="inlineStr">
        <is>
          <t>F</t>
        </is>
      </c>
      <c r="D394" s="3" t="inlineStr">
        <is>
          <t>Germany</t>
        </is>
      </c>
      <c r="E394" s="3" t="inlineStr">
        <is>
          <t>Hessen</t>
        </is>
      </c>
      <c r="F394" s="3" t="inlineStr">
        <is>
          <t>Road Bikes</t>
        </is>
      </c>
      <c r="G394" s="3" t="inlineStr">
        <is>
          <t>Black</t>
        </is>
      </c>
      <c r="H394" s="3" t="inlineStr">
        <is>
          <t>Road-250 Black, 58</t>
        </is>
      </c>
      <c r="I394" s="4" t="n">
        <v>1</v>
      </c>
      <c r="J394" s="24" t="n">
        <v>580</v>
      </c>
      <c r="K394" s="24" t="n">
        <v>920</v>
      </c>
      <c r="L394" s="25">
        <f>I394*K394</f>
        <v/>
      </c>
      <c r="M394" s="25">
        <f>I394*J394</f>
        <v/>
      </c>
      <c r="N394" s="25">
        <f>L394-M394</f>
        <v/>
      </c>
      <c r="O394" s="26">
        <f>IFERROR(N394/L394,0)</f>
        <v/>
      </c>
      <c r="P394">
        <f>YEAR(A394)</f>
        <v/>
      </c>
      <c r="Q394">
        <f>TEXT(A394,"mmm")</f>
        <v/>
      </c>
      <c r="R394">
        <f>IF(B394&lt;25,"18-24",IF(B394&lt;35,"25-34",IF(B394&lt;45,"35-44","45+")))</f>
        <v/>
      </c>
    </row>
    <row r="395">
      <c r="A395" s="23" t="n">
        <v>44508</v>
      </c>
      <c r="B395" s="3" t="n">
        <v>35</v>
      </c>
      <c r="C395" s="3" t="inlineStr">
        <is>
          <t>M</t>
        </is>
      </c>
      <c r="D395" s="3" t="inlineStr">
        <is>
          <t>Canada</t>
        </is>
      </c>
      <c r="E395" s="3" t="inlineStr">
        <is>
          <t>British Columbia</t>
        </is>
      </c>
      <c r="F395" s="3" t="inlineStr">
        <is>
          <t>Mountain Bikes</t>
        </is>
      </c>
      <c r="G395" s="3" t="inlineStr">
        <is>
          <t>Black</t>
        </is>
      </c>
      <c r="H395" s="3" t="inlineStr">
        <is>
          <t>Mountain-500 Black, 44</t>
        </is>
      </c>
      <c r="I395" s="4" t="n">
        <v>2</v>
      </c>
      <c r="J395" s="24" t="n">
        <v>480</v>
      </c>
      <c r="K395" s="24" t="n">
        <v>760</v>
      </c>
      <c r="L395" s="25">
        <f>I395*K395</f>
        <v/>
      </c>
      <c r="M395" s="25">
        <f>I395*J395</f>
        <v/>
      </c>
      <c r="N395" s="25">
        <f>L395-M395</f>
        <v/>
      </c>
      <c r="O395" s="26">
        <f>IFERROR(N395/L395,0)</f>
        <v/>
      </c>
      <c r="P395">
        <f>YEAR(A395)</f>
        <v/>
      </c>
      <c r="Q395">
        <f>TEXT(A395,"mmm")</f>
        <v/>
      </c>
      <c r="R395">
        <f>IF(B395&lt;25,"18-24",IF(B395&lt;35,"25-34",IF(B395&lt;45,"35-44","45+")))</f>
        <v/>
      </c>
    </row>
    <row r="396">
      <c r="A396" s="23" t="n">
        <v>44521</v>
      </c>
      <c r="B396" s="3" t="n">
        <v>35</v>
      </c>
      <c r="C396" s="3" t="inlineStr">
        <is>
          <t>M</t>
        </is>
      </c>
      <c r="D396" s="3" t="inlineStr">
        <is>
          <t>United States</t>
        </is>
      </c>
      <c r="E396" s="3" t="inlineStr">
        <is>
          <t>Washington</t>
        </is>
      </c>
      <c r="F396" s="3" t="inlineStr">
        <is>
          <t>Road Bikes</t>
        </is>
      </c>
      <c r="G396" s="3" t="inlineStr">
        <is>
          <t>Red</t>
        </is>
      </c>
      <c r="H396" s="3" t="inlineStr">
        <is>
          <t>Road-150 Red, 44</t>
        </is>
      </c>
      <c r="I396" s="4" t="n">
        <v>4</v>
      </c>
      <c r="J396" s="24" t="n">
        <v>900</v>
      </c>
      <c r="K396" s="24" t="n">
        <v>1400</v>
      </c>
      <c r="L396" s="25">
        <f>I396*K396</f>
        <v/>
      </c>
      <c r="M396" s="25">
        <f>I396*J396</f>
        <v/>
      </c>
      <c r="N396" s="25">
        <f>L396-M396</f>
        <v/>
      </c>
      <c r="O396" s="26">
        <f>IFERROR(N396/L396,0)</f>
        <v/>
      </c>
      <c r="P396">
        <f>YEAR(A396)</f>
        <v/>
      </c>
      <c r="Q396">
        <f>TEXT(A396,"mmm")</f>
        <v/>
      </c>
      <c r="R396">
        <f>IF(B396&lt;25,"18-24",IF(B396&lt;35,"25-34",IF(B396&lt;45,"35-44","45+")))</f>
        <v/>
      </c>
    </row>
    <row r="397">
      <c r="A397" s="23" t="n">
        <v>44532</v>
      </c>
      <c r="B397" s="3" t="n">
        <v>35</v>
      </c>
      <c r="C397" s="3" t="inlineStr">
        <is>
          <t>M</t>
        </is>
      </c>
      <c r="D397" s="3" t="inlineStr">
        <is>
          <t>Australia</t>
        </is>
      </c>
      <c r="E397" s="3" t="inlineStr">
        <is>
          <t>New South Wales</t>
        </is>
      </c>
      <c r="F397" s="3" t="inlineStr">
        <is>
          <t>Road Bikes</t>
        </is>
      </c>
      <c r="G397" s="3" t="inlineStr">
        <is>
          <t>Yellow</t>
        </is>
      </c>
      <c r="H397" s="3" t="inlineStr">
        <is>
          <t>Road-350-W Yellow, 42</t>
        </is>
      </c>
      <c r="I397" s="4" t="n">
        <v>2</v>
      </c>
      <c r="J397" s="24" t="n">
        <v>530</v>
      </c>
      <c r="K397" s="24" t="n">
        <v>840</v>
      </c>
      <c r="L397" s="25">
        <f>I397*K397</f>
        <v/>
      </c>
      <c r="M397" s="25">
        <f>I397*J397</f>
        <v/>
      </c>
      <c r="N397" s="25">
        <f>L397-M397</f>
        <v/>
      </c>
      <c r="O397" s="26">
        <f>IFERROR(N397/L397,0)</f>
        <v/>
      </c>
      <c r="P397">
        <f>YEAR(A397)</f>
        <v/>
      </c>
      <c r="Q397">
        <f>TEXT(A397,"mmm")</f>
        <v/>
      </c>
      <c r="R397">
        <f>IF(B397&lt;25,"18-24",IF(B397&lt;35,"25-34",IF(B397&lt;45,"35-44","45+")))</f>
        <v/>
      </c>
    </row>
    <row r="398">
      <c r="A398" s="23" t="n">
        <v>44535</v>
      </c>
      <c r="B398" s="3" t="n">
        <v>35</v>
      </c>
      <c r="C398" s="3" t="inlineStr">
        <is>
          <t>F</t>
        </is>
      </c>
      <c r="D398" s="3" t="inlineStr">
        <is>
          <t>Australia</t>
        </is>
      </c>
      <c r="E398" s="3" t="inlineStr">
        <is>
          <t>Queensland</t>
        </is>
      </c>
      <c r="F398" s="3" t="inlineStr">
        <is>
          <t>Mountain Bikes</t>
        </is>
      </c>
      <c r="G398" s="3" t="inlineStr">
        <is>
          <t>Silver</t>
        </is>
      </c>
      <c r="H398" s="3" t="inlineStr">
        <is>
          <t>Mountain-200 Silver, 38</t>
        </is>
      </c>
      <c r="I398" s="4" t="n">
        <v>1</v>
      </c>
      <c r="J398" s="24" t="n">
        <v>550</v>
      </c>
      <c r="K398" s="24" t="n">
        <v>850</v>
      </c>
      <c r="L398" s="25">
        <f>I398*K398</f>
        <v/>
      </c>
      <c r="M398" s="25">
        <f>I398*J398</f>
        <v/>
      </c>
      <c r="N398" s="25">
        <f>L398-M398</f>
        <v/>
      </c>
      <c r="O398" s="26">
        <f>IFERROR(N398/L398,0)</f>
        <v/>
      </c>
      <c r="P398">
        <f>YEAR(A398)</f>
        <v/>
      </c>
      <c r="Q398">
        <f>TEXT(A398,"mmm")</f>
        <v/>
      </c>
      <c r="R398">
        <f>IF(B398&lt;25,"18-24",IF(B398&lt;35,"25-34",IF(B398&lt;45,"35-44","45+")))</f>
        <v/>
      </c>
    </row>
    <row r="399">
      <c r="A399" s="23" t="n">
        <v>44538</v>
      </c>
      <c r="B399" s="3" t="n">
        <v>35</v>
      </c>
      <c r="C399" s="3" t="inlineStr">
        <is>
          <t>F</t>
        </is>
      </c>
      <c r="D399" s="3" t="inlineStr">
        <is>
          <t>United States</t>
        </is>
      </c>
      <c r="E399" s="3" t="inlineStr">
        <is>
          <t>California</t>
        </is>
      </c>
      <c r="F399" s="3" t="inlineStr">
        <is>
          <t>Mountain Bikes</t>
        </is>
      </c>
      <c r="G399" s="3" t="inlineStr">
        <is>
          <t>Black</t>
        </is>
      </c>
      <c r="H399" s="3" t="inlineStr">
        <is>
          <t>Mountain-500 Black, 42</t>
        </is>
      </c>
      <c r="I399" s="4" t="n">
        <v>1</v>
      </c>
      <c r="J399" s="24" t="n">
        <v>480</v>
      </c>
      <c r="K399" s="24" t="n">
        <v>760</v>
      </c>
      <c r="L399" s="25">
        <f>I399*K399</f>
        <v/>
      </c>
      <c r="M399" s="25">
        <f>I399*J399</f>
        <v/>
      </c>
      <c r="N399" s="25">
        <f>L399-M399</f>
        <v/>
      </c>
      <c r="O399" s="26">
        <f>IFERROR(N399/L399,0)</f>
        <v/>
      </c>
      <c r="P399">
        <f>YEAR(A399)</f>
        <v/>
      </c>
      <c r="Q399">
        <f>TEXT(A399,"mmm")</f>
        <v/>
      </c>
      <c r="R399">
        <f>IF(B399&lt;25,"18-24",IF(B399&lt;35,"25-34",IF(B399&lt;45,"35-44","45+")))</f>
        <v/>
      </c>
    </row>
    <row r="400">
      <c r="A400" s="23" t="n">
        <v>44542</v>
      </c>
      <c r="B400" s="3" t="n">
        <v>35</v>
      </c>
      <c r="C400" s="3" t="inlineStr">
        <is>
          <t>F</t>
        </is>
      </c>
      <c r="D400" s="3" t="inlineStr">
        <is>
          <t>Australia</t>
        </is>
      </c>
      <c r="E400" s="3" t="inlineStr">
        <is>
          <t>Victoria</t>
        </is>
      </c>
      <c r="F400" s="3" t="inlineStr">
        <is>
          <t>Mountain Bikes</t>
        </is>
      </c>
      <c r="G400" s="3" t="inlineStr">
        <is>
          <t>Silver</t>
        </is>
      </c>
      <c r="H400" s="3" t="inlineStr">
        <is>
          <t>Mountain-200 Silver, 42</t>
        </is>
      </c>
      <c r="I400" s="4" t="n">
        <v>1</v>
      </c>
      <c r="J400" s="24" t="n">
        <v>550</v>
      </c>
      <c r="K400" s="24" t="n">
        <v>850</v>
      </c>
      <c r="L400" s="25">
        <f>I400*K400</f>
        <v/>
      </c>
      <c r="M400" s="25">
        <f>I400*J400</f>
        <v/>
      </c>
      <c r="N400" s="25">
        <f>L400-M400</f>
        <v/>
      </c>
      <c r="O400" s="26">
        <f>IFERROR(N400/L400,0)</f>
        <v/>
      </c>
      <c r="P400">
        <f>YEAR(A400)</f>
        <v/>
      </c>
      <c r="Q400">
        <f>TEXT(A400,"mmm")</f>
        <v/>
      </c>
      <c r="R400">
        <f>IF(B400&lt;25,"18-24",IF(B400&lt;35,"25-34",IF(B400&lt;45,"35-44","45+")))</f>
        <v/>
      </c>
    </row>
    <row r="401">
      <c r="A401" s="23" t="n">
        <v>44543</v>
      </c>
      <c r="B401" s="3" t="n">
        <v>35</v>
      </c>
      <c r="C401" s="3" t="inlineStr">
        <is>
          <t>F</t>
        </is>
      </c>
      <c r="D401" s="3" t="inlineStr">
        <is>
          <t>Germany</t>
        </is>
      </c>
      <c r="E401" s="3" t="inlineStr">
        <is>
          <t>Saarland</t>
        </is>
      </c>
      <c r="F401" s="3" t="inlineStr">
        <is>
          <t>Road Bikes</t>
        </is>
      </c>
      <c r="G401" s="3" t="inlineStr">
        <is>
          <t>Yellow</t>
        </is>
      </c>
      <c r="H401" s="3" t="inlineStr">
        <is>
          <t>Road-350-W Yellow, 44</t>
        </is>
      </c>
      <c r="I401" s="4" t="n">
        <v>1</v>
      </c>
      <c r="J401" s="24" t="n">
        <v>530</v>
      </c>
      <c r="K401" s="24" t="n">
        <v>840</v>
      </c>
      <c r="L401" s="25">
        <f>I401*K401</f>
        <v/>
      </c>
      <c r="M401" s="25">
        <f>I401*J401</f>
        <v/>
      </c>
      <c r="N401" s="25">
        <f>L401-M401</f>
        <v/>
      </c>
      <c r="O401" s="26">
        <f>IFERROR(N401/L401,0)</f>
        <v/>
      </c>
      <c r="P401">
        <f>YEAR(A401)</f>
        <v/>
      </c>
      <c r="Q401">
        <f>TEXT(A401,"mmm")</f>
        <v/>
      </c>
      <c r="R401">
        <f>IF(B401&lt;25,"18-24",IF(B401&lt;35,"25-34",IF(B401&lt;45,"35-44","45+")))</f>
        <v/>
      </c>
    </row>
    <row r="402">
      <c r="A402" s="23" t="n">
        <v>44548</v>
      </c>
      <c r="B402" s="3" t="n">
        <v>35</v>
      </c>
      <c r="C402" s="3" t="inlineStr">
        <is>
          <t>F</t>
        </is>
      </c>
      <c r="D402" s="3" t="inlineStr">
        <is>
          <t>Australia</t>
        </is>
      </c>
      <c r="E402" s="3" t="inlineStr">
        <is>
          <t>New South Wales</t>
        </is>
      </c>
      <c r="F402" s="3" t="inlineStr">
        <is>
          <t>Mountain Bikes</t>
        </is>
      </c>
      <c r="G402" s="3" t="inlineStr">
        <is>
          <t>Silver</t>
        </is>
      </c>
      <c r="H402" s="3" t="inlineStr">
        <is>
          <t>Mountain-500 Silver, 42</t>
        </is>
      </c>
      <c r="I402" s="4" t="n">
        <v>4</v>
      </c>
      <c r="J402" s="24" t="n">
        <v>480</v>
      </c>
      <c r="K402" s="24" t="n">
        <v>760</v>
      </c>
      <c r="L402" s="25">
        <f>I402*K402</f>
        <v/>
      </c>
      <c r="M402" s="25">
        <f>I402*J402</f>
        <v/>
      </c>
      <c r="N402" s="25">
        <f>L402-M402</f>
        <v/>
      </c>
      <c r="O402" s="26">
        <f>IFERROR(N402/L402,0)</f>
        <v/>
      </c>
      <c r="P402">
        <f>YEAR(A402)</f>
        <v/>
      </c>
      <c r="Q402">
        <f>TEXT(A402,"mmm")</f>
        <v/>
      </c>
      <c r="R402">
        <f>IF(B402&lt;25,"18-24",IF(B402&lt;35,"25-34",IF(B402&lt;45,"35-44","45+")))</f>
        <v/>
      </c>
    </row>
    <row r="403">
      <c r="A403" s="23" t="n">
        <v>44549</v>
      </c>
      <c r="B403" s="3" t="n">
        <v>35</v>
      </c>
      <c r="C403" s="3" t="inlineStr">
        <is>
          <t>F</t>
        </is>
      </c>
      <c r="D403" s="3" t="inlineStr">
        <is>
          <t>United States</t>
        </is>
      </c>
      <c r="E403" s="3" t="inlineStr">
        <is>
          <t>Oregon</t>
        </is>
      </c>
      <c r="F403" s="3" t="inlineStr">
        <is>
          <t>Mountain Bikes</t>
        </is>
      </c>
      <c r="G403" s="3" t="inlineStr">
        <is>
          <t>Black</t>
        </is>
      </c>
      <c r="H403" s="3" t="inlineStr">
        <is>
          <t>Mountain-100 Black, 48</t>
        </is>
      </c>
      <c r="I403" s="4" t="n">
        <v>4</v>
      </c>
      <c r="J403" s="24" t="n">
        <v>400</v>
      </c>
      <c r="K403" s="24" t="n">
        <v>650</v>
      </c>
      <c r="L403" s="25">
        <f>I403*K403</f>
        <v/>
      </c>
      <c r="M403" s="25">
        <f>I403*J403</f>
        <v/>
      </c>
      <c r="N403" s="25">
        <f>L403-M403</f>
        <v/>
      </c>
      <c r="O403" s="26">
        <f>IFERROR(N403/L403,0)</f>
        <v/>
      </c>
      <c r="P403">
        <f>YEAR(A403)</f>
        <v/>
      </c>
      <c r="Q403">
        <f>TEXT(A403,"mmm")</f>
        <v/>
      </c>
      <c r="R403">
        <f>IF(B403&lt;25,"18-24",IF(B403&lt;35,"25-34",IF(B403&lt;45,"35-44","45+")))</f>
        <v/>
      </c>
    </row>
    <row r="404">
      <c r="A404" s="23" t="n">
        <v>44550</v>
      </c>
      <c r="B404" s="3" t="n">
        <v>35</v>
      </c>
      <c r="C404" s="3" t="inlineStr">
        <is>
          <t>M</t>
        </is>
      </c>
      <c r="D404" s="3" t="inlineStr">
        <is>
          <t>France</t>
        </is>
      </c>
      <c r="E404" s="3" t="inlineStr">
        <is>
          <t>Loiret</t>
        </is>
      </c>
      <c r="F404" s="3" t="inlineStr">
        <is>
          <t>Road Bikes</t>
        </is>
      </c>
      <c r="G404" s="3" t="inlineStr">
        <is>
          <t>Red</t>
        </is>
      </c>
      <c r="H404" s="3" t="inlineStr">
        <is>
          <t>Road-150 Red, 52</t>
        </is>
      </c>
      <c r="I404" s="4" t="n">
        <v>3</v>
      </c>
      <c r="J404" s="24" t="n">
        <v>900</v>
      </c>
      <c r="K404" s="24" t="n">
        <v>1400</v>
      </c>
      <c r="L404" s="25">
        <f>I404*K404</f>
        <v/>
      </c>
      <c r="M404" s="25">
        <f>I404*J404</f>
        <v/>
      </c>
      <c r="N404" s="25">
        <f>L404-M404</f>
        <v/>
      </c>
      <c r="O404" s="26">
        <f>IFERROR(N404/L404,0)</f>
        <v/>
      </c>
      <c r="P404">
        <f>YEAR(A404)</f>
        <v/>
      </c>
      <c r="Q404">
        <f>TEXT(A404,"mmm")</f>
        <v/>
      </c>
      <c r="R404">
        <f>IF(B404&lt;25,"18-24",IF(B404&lt;35,"25-34",IF(B404&lt;45,"35-44","45+")))</f>
        <v/>
      </c>
    </row>
    <row r="405">
      <c r="A405" s="23" t="n">
        <v>44550</v>
      </c>
      <c r="B405" s="3" t="n">
        <v>35</v>
      </c>
      <c r="C405" s="3" t="inlineStr">
        <is>
          <t>F</t>
        </is>
      </c>
      <c r="D405" s="3" t="inlineStr">
        <is>
          <t>Australia</t>
        </is>
      </c>
      <c r="E405" s="3" t="inlineStr">
        <is>
          <t>Queensland</t>
        </is>
      </c>
      <c r="F405" s="3" t="inlineStr">
        <is>
          <t>Mountain Bikes</t>
        </is>
      </c>
      <c r="G405" s="3" t="inlineStr">
        <is>
          <t>Silver</t>
        </is>
      </c>
      <c r="H405" s="3" t="inlineStr">
        <is>
          <t>Mountain-200 Silver, 38</t>
        </is>
      </c>
      <c r="I405" s="4" t="n">
        <v>1</v>
      </c>
      <c r="J405" s="24" t="n">
        <v>550</v>
      </c>
      <c r="K405" s="24" t="n">
        <v>850</v>
      </c>
      <c r="L405" s="25">
        <f>I405*K405</f>
        <v/>
      </c>
      <c r="M405" s="25">
        <f>I405*J405</f>
        <v/>
      </c>
      <c r="N405" s="25">
        <f>L405-M405</f>
        <v/>
      </c>
      <c r="O405" s="26">
        <f>IFERROR(N405/L405,0)</f>
        <v/>
      </c>
      <c r="P405">
        <f>YEAR(A405)</f>
        <v/>
      </c>
      <c r="Q405">
        <f>TEXT(A405,"mmm")</f>
        <v/>
      </c>
      <c r="R405">
        <f>IF(B405&lt;25,"18-24",IF(B405&lt;35,"25-34",IF(B405&lt;45,"35-44","45+")))</f>
        <v/>
      </c>
    </row>
    <row r="406">
      <c r="A406" s="23" t="n">
        <v>44550</v>
      </c>
      <c r="B406" s="3" t="n">
        <v>35</v>
      </c>
      <c r="C406" s="3" t="inlineStr">
        <is>
          <t>M</t>
        </is>
      </c>
      <c r="D406" s="3" t="inlineStr">
        <is>
          <t>Australia</t>
        </is>
      </c>
      <c r="E406" s="3" t="inlineStr">
        <is>
          <t>Victoria</t>
        </is>
      </c>
      <c r="F406" s="3" t="inlineStr">
        <is>
          <t>Mountain Bikes</t>
        </is>
      </c>
      <c r="G406" s="3" t="inlineStr">
        <is>
          <t>Silver</t>
        </is>
      </c>
      <c r="H406" s="3" t="inlineStr">
        <is>
          <t>Mountain-200 Silver, 38</t>
        </is>
      </c>
      <c r="I406" s="4" t="n">
        <v>1</v>
      </c>
      <c r="J406" s="24" t="n">
        <v>550</v>
      </c>
      <c r="K406" s="24" t="n">
        <v>850</v>
      </c>
      <c r="L406" s="25">
        <f>I406*K406</f>
        <v/>
      </c>
      <c r="M406" s="25">
        <f>I406*J406</f>
        <v/>
      </c>
      <c r="N406" s="25">
        <f>L406-M406</f>
        <v/>
      </c>
      <c r="O406" s="26">
        <f>IFERROR(N406/L406,0)</f>
        <v/>
      </c>
      <c r="P406">
        <f>YEAR(A406)</f>
        <v/>
      </c>
      <c r="Q406">
        <f>TEXT(A406,"mmm")</f>
        <v/>
      </c>
      <c r="R406">
        <f>IF(B406&lt;25,"18-24",IF(B406&lt;35,"25-34",IF(B406&lt;45,"35-44","45+")))</f>
        <v/>
      </c>
    </row>
    <row r="407">
      <c r="A407" s="23" t="n">
        <v>44550</v>
      </c>
      <c r="B407" s="3" t="n">
        <v>35</v>
      </c>
      <c r="C407" s="3" t="inlineStr">
        <is>
          <t>F</t>
        </is>
      </c>
      <c r="D407" s="3" t="inlineStr">
        <is>
          <t>Australia</t>
        </is>
      </c>
      <c r="E407" s="3" t="inlineStr">
        <is>
          <t>Queensland</t>
        </is>
      </c>
      <c r="F407" s="3" t="inlineStr">
        <is>
          <t>Road Bikes</t>
        </is>
      </c>
      <c r="G407" s="3" t="inlineStr">
        <is>
          <t>Yellow</t>
        </is>
      </c>
      <c r="H407" s="3" t="inlineStr">
        <is>
          <t>Road-350-W Yellow, 44</t>
        </is>
      </c>
      <c r="I407" s="4" t="n">
        <v>1</v>
      </c>
      <c r="J407" s="24" t="n">
        <v>530</v>
      </c>
      <c r="K407" s="24" t="n">
        <v>840</v>
      </c>
      <c r="L407" s="25">
        <f>I407*K407</f>
        <v/>
      </c>
      <c r="M407" s="25">
        <f>I407*J407</f>
        <v/>
      </c>
      <c r="N407" s="25">
        <f>L407-M407</f>
        <v/>
      </c>
      <c r="O407" s="26">
        <f>IFERROR(N407/L407,0)</f>
        <v/>
      </c>
      <c r="P407">
        <f>YEAR(A407)</f>
        <v/>
      </c>
      <c r="Q407">
        <f>TEXT(A407,"mmm")</f>
        <v/>
      </c>
      <c r="R407">
        <f>IF(B407&lt;25,"18-24",IF(B407&lt;35,"25-34",IF(B407&lt;45,"35-44","45+")))</f>
        <v/>
      </c>
    </row>
    <row r="408">
      <c r="A408" s="23" t="n">
        <v>44553</v>
      </c>
      <c r="B408" s="3" t="n">
        <v>35</v>
      </c>
      <c r="C408" s="3" t="inlineStr">
        <is>
          <t>F</t>
        </is>
      </c>
      <c r="D408" s="3" t="inlineStr">
        <is>
          <t>United States</t>
        </is>
      </c>
      <c r="E408" s="3" t="inlineStr">
        <is>
          <t>California</t>
        </is>
      </c>
      <c r="F408" s="3" t="inlineStr">
        <is>
          <t>Mountain Bikes</t>
        </is>
      </c>
      <c r="G408" s="3" t="inlineStr">
        <is>
          <t>Black</t>
        </is>
      </c>
      <c r="H408" s="3" t="inlineStr">
        <is>
          <t>Mountain-500 Black, 42</t>
        </is>
      </c>
      <c r="I408" s="4" t="n">
        <v>1</v>
      </c>
      <c r="J408" s="24" t="n">
        <v>480</v>
      </c>
      <c r="K408" s="24" t="n">
        <v>760</v>
      </c>
      <c r="L408" s="25">
        <f>I408*K408</f>
        <v/>
      </c>
      <c r="M408" s="25">
        <f>I408*J408</f>
        <v/>
      </c>
      <c r="N408" s="25">
        <f>L408-M408</f>
        <v/>
      </c>
      <c r="O408" s="26">
        <f>IFERROR(N408/L408,0)</f>
        <v/>
      </c>
      <c r="P408">
        <f>YEAR(A408)</f>
        <v/>
      </c>
      <c r="Q408">
        <f>TEXT(A408,"mmm")</f>
        <v/>
      </c>
      <c r="R408">
        <f>IF(B408&lt;25,"18-24",IF(B408&lt;35,"25-34",IF(B408&lt;45,"35-44","45+")))</f>
        <v/>
      </c>
    </row>
    <row r="409">
      <c r="A409" s="23" t="n">
        <v>44558</v>
      </c>
      <c r="B409" s="3" t="n">
        <v>35</v>
      </c>
      <c r="C409" s="3" t="inlineStr">
        <is>
          <t>F</t>
        </is>
      </c>
      <c r="D409" s="3" t="inlineStr">
        <is>
          <t>Australia</t>
        </is>
      </c>
      <c r="E409" s="3" t="inlineStr">
        <is>
          <t>New South Wales</t>
        </is>
      </c>
      <c r="F409" s="3" t="inlineStr">
        <is>
          <t>Road Bikes</t>
        </is>
      </c>
      <c r="G409" s="3" t="inlineStr">
        <is>
          <t>Yellow</t>
        </is>
      </c>
      <c r="H409" s="3" t="inlineStr">
        <is>
          <t>Road-350-W Yellow, 48</t>
        </is>
      </c>
      <c r="I409" s="4" t="n">
        <v>4</v>
      </c>
      <c r="J409" s="24" t="n">
        <v>530</v>
      </c>
      <c r="K409" s="24" t="n">
        <v>840</v>
      </c>
      <c r="L409" s="25">
        <f>I409*K409</f>
        <v/>
      </c>
      <c r="M409" s="25">
        <f>I409*J409</f>
        <v/>
      </c>
      <c r="N409" s="25">
        <f>L409-M409</f>
        <v/>
      </c>
      <c r="O409" s="26">
        <f>IFERROR(N409/L409,0)</f>
        <v/>
      </c>
      <c r="P409">
        <f>YEAR(A409)</f>
        <v/>
      </c>
      <c r="Q409">
        <f>TEXT(A409,"mmm")</f>
        <v/>
      </c>
      <c r="R409">
        <f>IF(B409&lt;25,"18-24",IF(B409&lt;35,"25-34",IF(B409&lt;45,"35-44","45+")))</f>
        <v/>
      </c>
    </row>
    <row r="410">
      <c r="A410" s="23" t="n">
        <v>44559</v>
      </c>
      <c r="B410" s="3" t="n">
        <v>35</v>
      </c>
      <c r="C410" s="3" t="inlineStr">
        <is>
          <t>F</t>
        </is>
      </c>
      <c r="D410" s="3" t="inlineStr">
        <is>
          <t>Germany</t>
        </is>
      </c>
      <c r="E410" s="3" t="inlineStr">
        <is>
          <t>Saarland</t>
        </is>
      </c>
      <c r="F410" s="3" t="inlineStr">
        <is>
          <t>Road Bikes</t>
        </is>
      </c>
      <c r="G410" s="3" t="inlineStr">
        <is>
          <t>Yellow</t>
        </is>
      </c>
      <c r="H410" s="3" t="inlineStr">
        <is>
          <t>Road-350-W Yellow, 44</t>
        </is>
      </c>
      <c r="I410" s="4" t="n">
        <v>1</v>
      </c>
      <c r="J410" s="24" t="n">
        <v>530</v>
      </c>
      <c r="K410" s="24" t="n">
        <v>840</v>
      </c>
      <c r="L410" s="25">
        <f>I410*K410</f>
        <v/>
      </c>
      <c r="M410" s="25">
        <f>I410*J410</f>
        <v/>
      </c>
      <c r="N410" s="25">
        <f>L410-M410</f>
        <v/>
      </c>
      <c r="O410" s="26">
        <f>IFERROR(N410/L410,0)</f>
        <v/>
      </c>
      <c r="P410">
        <f>YEAR(A410)</f>
        <v/>
      </c>
      <c r="Q410">
        <f>TEXT(A410,"mmm")</f>
        <v/>
      </c>
      <c r="R410">
        <f>IF(B410&lt;25,"18-24",IF(B410&lt;35,"25-34",IF(B410&lt;45,"35-44","45+")))</f>
        <v/>
      </c>
    </row>
    <row r="411">
      <c r="A411" s="23" t="n">
        <v>44470</v>
      </c>
      <c r="B411" s="3" t="n">
        <v>36</v>
      </c>
      <c r="C411" s="3" t="inlineStr">
        <is>
          <t>F</t>
        </is>
      </c>
      <c r="D411" s="3" t="inlineStr">
        <is>
          <t>United States</t>
        </is>
      </c>
      <c r="E411" s="3" t="inlineStr">
        <is>
          <t>California</t>
        </is>
      </c>
      <c r="F411" s="3" t="inlineStr">
        <is>
          <t>Road Bikes</t>
        </is>
      </c>
      <c r="G411" s="3" t="inlineStr">
        <is>
          <t>Red</t>
        </is>
      </c>
      <c r="H411" s="3" t="inlineStr">
        <is>
          <t>Road-650 Red, 62</t>
        </is>
      </c>
      <c r="I411" s="4" t="n">
        <v>1</v>
      </c>
      <c r="J411" s="24" t="n">
        <v>620</v>
      </c>
      <c r="K411" s="24" t="n">
        <v>980</v>
      </c>
      <c r="L411" s="25">
        <f>I411*K411</f>
        <v/>
      </c>
      <c r="M411" s="25">
        <f>I411*J411</f>
        <v/>
      </c>
      <c r="N411" s="25">
        <f>L411-M411</f>
        <v/>
      </c>
      <c r="O411" s="26">
        <f>IFERROR(N411/L411,0)</f>
        <v/>
      </c>
      <c r="P411">
        <f>YEAR(A411)</f>
        <v/>
      </c>
      <c r="Q411">
        <f>TEXT(A411,"mmm")</f>
        <v/>
      </c>
      <c r="R411">
        <f>IF(B411&lt;25,"18-24",IF(B411&lt;35,"25-34",IF(B411&lt;45,"35-44","45+")))</f>
        <v/>
      </c>
    </row>
    <row r="412">
      <c r="A412" s="23" t="n">
        <v>44472</v>
      </c>
      <c r="B412" s="3" t="n">
        <v>36</v>
      </c>
      <c r="C412" s="3" t="inlineStr">
        <is>
          <t>M</t>
        </is>
      </c>
      <c r="D412" s="3" t="inlineStr">
        <is>
          <t>Australia</t>
        </is>
      </c>
      <c r="E412" s="3" t="inlineStr">
        <is>
          <t>South Australia</t>
        </is>
      </c>
      <c r="F412" s="3" t="inlineStr">
        <is>
          <t>Road Bikes</t>
        </is>
      </c>
      <c r="G412" s="3" t="inlineStr">
        <is>
          <t>Yellow</t>
        </is>
      </c>
      <c r="H412" s="3" t="inlineStr">
        <is>
          <t>Road-550-W Yellow, 48</t>
        </is>
      </c>
      <c r="I412" s="4" t="n">
        <v>1</v>
      </c>
      <c r="J412" s="24" t="n">
        <v>500</v>
      </c>
      <c r="K412" s="24" t="n">
        <v>800</v>
      </c>
      <c r="L412" s="25">
        <f>I412*K412</f>
        <v/>
      </c>
      <c r="M412" s="25">
        <f>I412*J412</f>
        <v/>
      </c>
      <c r="N412" s="25">
        <f>L412-M412</f>
        <v/>
      </c>
      <c r="O412" s="26">
        <f>IFERROR(N412/L412,0)</f>
        <v/>
      </c>
      <c r="P412">
        <f>YEAR(A412)</f>
        <v/>
      </c>
      <c r="Q412">
        <f>TEXT(A412,"mmm")</f>
        <v/>
      </c>
      <c r="R412">
        <f>IF(B412&lt;25,"18-24",IF(B412&lt;35,"25-34",IF(B412&lt;45,"35-44","45+")))</f>
        <v/>
      </c>
    </row>
    <row r="413">
      <c r="A413" s="23" t="n">
        <v>44476</v>
      </c>
      <c r="B413" s="3" t="n">
        <v>36</v>
      </c>
      <c r="C413" s="3" t="inlineStr">
        <is>
          <t>F</t>
        </is>
      </c>
      <c r="D413" s="3" t="inlineStr">
        <is>
          <t>Australia</t>
        </is>
      </c>
      <c r="E413" s="3" t="inlineStr">
        <is>
          <t>Queensland</t>
        </is>
      </c>
      <c r="F413" s="3" t="inlineStr">
        <is>
          <t>Road Bikes</t>
        </is>
      </c>
      <c r="G413" s="3" t="inlineStr">
        <is>
          <t>Yellow</t>
        </is>
      </c>
      <c r="H413" s="3" t="inlineStr">
        <is>
          <t>Road-350-W Yellow, 44</t>
        </is>
      </c>
      <c r="I413" s="4" t="n">
        <v>3</v>
      </c>
      <c r="J413" s="24" t="n">
        <v>530</v>
      </c>
      <c r="K413" s="24" t="n">
        <v>840</v>
      </c>
      <c r="L413" s="25">
        <f>I413*K413</f>
        <v/>
      </c>
      <c r="M413" s="25">
        <f>I413*J413</f>
        <v/>
      </c>
      <c r="N413" s="25">
        <f>L413-M413</f>
        <v/>
      </c>
      <c r="O413" s="26">
        <f>IFERROR(N413/L413,0)</f>
        <v/>
      </c>
      <c r="P413">
        <f>YEAR(A413)</f>
        <v/>
      </c>
      <c r="Q413">
        <f>TEXT(A413,"mmm")</f>
        <v/>
      </c>
      <c r="R413">
        <f>IF(B413&lt;25,"18-24",IF(B413&lt;35,"25-34",IF(B413&lt;45,"35-44","45+")))</f>
        <v/>
      </c>
    </row>
    <row r="414">
      <c r="A414" s="23" t="n">
        <v>44479</v>
      </c>
      <c r="B414" s="3" t="n">
        <v>36</v>
      </c>
      <c r="C414" s="3" t="inlineStr">
        <is>
          <t>F</t>
        </is>
      </c>
      <c r="D414" s="3" t="inlineStr">
        <is>
          <t>United States</t>
        </is>
      </c>
      <c r="E414" s="3" t="inlineStr">
        <is>
          <t>California</t>
        </is>
      </c>
      <c r="F414" s="3" t="inlineStr">
        <is>
          <t>Road Bikes</t>
        </is>
      </c>
      <c r="G414" s="3" t="inlineStr">
        <is>
          <t>Red</t>
        </is>
      </c>
      <c r="H414" s="3" t="inlineStr">
        <is>
          <t>Road-650 Red, 62</t>
        </is>
      </c>
      <c r="I414" s="4" t="n">
        <v>1</v>
      </c>
      <c r="J414" s="24" t="n">
        <v>620</v>
      </c>
      <c r="K414" s="24" t="n">
        <v>980</v>
      </c>
      <c r="L414" s="25">
        <f>I414*K414</f>
        <v/>
      </c>
      <c r="M414" s="25">
        <f>I414*J414</f>
        <v/>
      </c>
      <c r="N414" s="25">
        <f>L414-M414</f>
        <v/>
      </c>
      <c r="O414" s="26">
        <f>IFERROR(N414/L414,0)</f>
        <v/>
      </c>
      <c r="P414">
        <f>YEAR(A414)</f>
        <v/>
      </c>
      <c r="Q414">
        <f>TEXT(A414,"mmm")</f>
        <v/>
      </c>
      <c r="R414">
        <f>IF(B414&lt;25,"18-24",IF(B414&lt;35,"25-34",IF(B414&lt;45,"35-44","45+")))</f>
        <v/>
      </c>
    </row>
    <row r="415">
      <c r="A415" s="23" t="n">
        <v>44485</v>
      </c>
      <c r="B415" s="3" t="n">
        <v>36</v>
      </c>
      <c r="C415" s="3" t="inlineStr">
        <is>
          <t>F</t>
        </is>
      </c>
      <c r="D415" s="3" t="inlineStr">
        <is>
          <t>Australia</t>
        </is>
      </c>
      <c r="E415" s="3" t="inlineStr">
        <is>
          <t>Queensland</t>
        </is>
      </c>
      <c r="F415" s="3" t="inlineStr">
        <is>
          <t>Road Bikes</t>
        </is>
      </c>
      <c r="G415" s="3" t="inlineStr">
        <is>
          <t>Yellow</t>
        </is>
      </c>
      <c r="H415" s="3" t="inlineStr">
        <is>
          <t>Road-350-W Yellow, 44</t>
        </is>
      </c>
      <c r="I415" s="4" t="n">
        <v>3</v>
      </c>
      <c r="J415" s="24" t="n">
        <v>530</v>
      </c>
      <c r="K415" s="24" t="n">
        <v>840</v>
      </c>
      <c r="L415" s="25">
        <f>I415*K415</f>
        <v/>
      </c>
      <c r="M415" s="25">
        <f>I415*J415</f>
        <v/>
      </c>
      <c r="N415" s="25">
        <f>L415-M415</f>
        <v/>
      </c>
      <c r="O415" s="26">
        <f>IFERROR(N415/L415,0)</f>
        <v/>
      </c>
      <c r="P415">
        <f>YEAR(A415)</f>
        <v/>
      </c>
      <c r="Q415">
        <f>TEXT(A415,"mmm")</f>
        <v/>
      </c>
      <c r="R415">
        <f>IF(B415&lt;25,"18-24",IF(B415&lt;35,"25-34",IF(B415&lt;45,"35-44","45+")))</f>
        <v/>
      </c>
    </row>
    <row r="416">
      <c r="A416" s="23" t="n">
        <v>44492</v>
      </c>
      <c r="B416" s="3" t="n">
        <v>36</v>
      </c>
      <c r="C416" s="3" t="inlineStr">
        <is>
          <t>M</t>
        </is>
      </c>
      <c r="D416" s="3" t="inlineStr">
        <is>
          <t>France</t>
        </is>
      </c>
      <c r="E416" s="3" t="inlineStr">
        <is>
          <t>Hauts de Seine</t>
        </is>
      </c>
      <c r="F416" s="3" t="inlineStr">
        <is>
          <t>Road Bikes</t>
        </is>
      </c>
      <c r="G416" s="3" t="inlineStr">
        <is>
          <t>Yellow</t>
        </is>
      </c>
      <c r="H416" s="3" t="inlineStr">
        <is>
          <t>Road-350-W Yellow, 44</t>
        </is>
      </c>
      <c r="I416" s="4" t="n">
        <v>1</v>
      </c>
      <c r="J416" s="24" t="n">
        <v>530</v>
      </c>
      <c r="K416" s="24" t="n">
        <v>840</v>
      </c>
      <c r="L416" s="25">
        <f>I416*K416</f>
        <v/>
      </c>
      <c r="M416" s="25">
        <f>I416*J416</f>
        <v/>
      </c>
      <c r="N416" s="25">
        <f>L416-M416</f>
        <v/>
      </c>
      <c r="O416" s="26">
        <f>IFERROR(N416/L416,0)</f>
        <v/>
      </c>
      <c r="P416">
        <f>YEAR(A416)</f>
        <v/>
      </c>
      <c r="Q416">
        <f>TEXT(A416,"mmm")</f>
        <v/>
      </c>
      <c r="R416">
        <f>IF(B416&lt;25,"18-24",IF(B416&lt;35,"25-34",IF(B416&lt;45,"35-44","45+")))</f>
        <v/>
      </c>
    </row>
    <row r="417">
      <c r="A417" s="23" t="n">
        <v>44496</v>
      </c>
      <c r="B417" s="3" t="n">
        <v>36</v>
      </c>
      <c r="C417" s="3" t="inlineStr">
        <is>
          <t>F</t>
        </is>
      </c>
      <c r="D417" s="3" t="inlineStr">
        <is>
          <t>Australia</t>
        </is>
      </c>
      <c r="E417" s="3" t="inlineStr">
        <is>
          <t>Victoria</t>
        </is>
      </c>
      <c r="F417" s="3" t="inlineStr">
        <is>
          <t>Road Bikes</t>
        </is>
      </c>
      <c r="G417" s="3" t="inlineStr">
        <is>
          <t>Yellow</t>
        </is>
      </c>
      <c r="H417" s="3" t="inlineStr">
        <is>
          <t>Road-550-W Yellow, 48</t>
        </is>
      </c>
      <c r="I417" s="4" t="n">
        <v>1</v>
      </c>
      <c r="J417" s="24" t="n">
        <v>500</v>
      </c>
      <c r="K417" s="24" t="n">
        <v>800</v>
      </c>
      <c r="L417" s="25">
        <f>I417*K417</f>
        <v/>
      </c>
      <c r="M417" s="25">
        <f>I417*J417</f>
        <v/>
      </c>
      <c r="N417" s="25">
        <f>L417-M417</f>
        <v/>
      </c>
      <c r="O417" s="26">
        <f>IFERROR(N417/L417,0)</f>
        <v/>
      </c>
      <c r="P417">
        <f>YEAR(A417)</f>
        <v/>
      </c>
      <c r="Q417">
        <f>TEXT(A417,"mmm")</f>
        <v/>
      </c>
      <c r="R417">
        <f>IF(B417&lt;25,"18-24",IF(B417&lt;35,"25-34",IF(B417&lt;45,"35-44","45+")))</f>
        <v/>
      </c>
    </row>
    <row r="418">
      <c r="A418" s="23" t="n">
        <v>44499</v>
      </c>
      <c r="B418" s="3" t="n">
        <v>36</v>
      </c>
      <c r="C418" s="3" t="inlineStr">
        <is>
          <t>F</t>
        </is>
      </c>
      <c r="D418" s="3" t="inlineStr">
        <is>
          <t>United States</t>
        </is>
      </c>
      <c r="E418" s="3" t="inlineStr">
        <is>
          <t>Oregon</t>
        </is>
      </c>
      <c r="F418" s="3" t="inlineStr">
        <is>
          <t>Road Bikes</t>
        </is>
      </c>
      <c r="G418" s="3" t="inlineStr">
        <is>
          <t>Black</t>
        </is>
      </c>
      <c r="H418" s="3" t="inlineStr">
        <is>
          <t>Road-250 Black, 58</t>
        </is>
      </c>
      <c r="I418" s="4" t="n">
        <v>1</v>
      </c>
      <c r="J418" s="24" t="n">
        <v>580</v>
      </c>
      <c r="K418" s="24" t="n">
        <v>920</v>
      </c>
      <c r="L418" s="25">
        <f>I418*K418</f>
        <v/>
      </c>
      <c r="M418" s="25">
        <f>I418*J418</f>
        <v/>
      </c>
      <c r="N418" s="25">
        <f>L418-M418</f>
        <v/>
      </c>
      <c r="O418" s="26">
        <f>IFERROR(N418/L418,0)</f>
        <v/>
      </c>
      <c r="P418">
        <f>YEAR(A418)</f>
        <v/>
      </c>
      <c r="Q418">
        <f>TEXT(A418,"mmm")</f>
        <v/>
      </c>
      <c r="R418">
        <f>IF(B418&lt;25,"18-24",IF(B418&lt;35,"25-34",IF(B418&lt;45,"35-44","45+")))</f>
        <v/>
      </c>
    </row>
    <row r="419">
      <c r="A419" s="23" t="n">
        <v>44506</v>
      </c>
      <c r="B419" s="3" t="n">
        <v>36</v>
      </c>
      <c r="C419" s="3" t="inlineStr">
        <is>
          <t>F</t>
        </is>
      </c>
      <c r="D419" s="3" t="inlineStr">
        <is>
          <t>United States</t>
        </is>
      </c>
      <c r="E419" s="3" t="inlineStr">
        <is>
          <t>California</t>
        </is>
      </c>
      <c r="F419" s="3" t="inlineStr">
        <is>
          <t>Road Bikes</t>
        </is>
      </c>
      <c r="G419" s="3" t="inlineStr">
        <is>
          <t>Red</t>
        </is>
      </c>
      <c r="H419" s="3" t="inlineStr">
        <is>
          <t>Road-650 Red, 62</t>
        </is>
      </c>
      <c r="I419" s="4" t="n">
        <v>2</v>
      </c>
      <c r="J419" s="24" t="n">
        <v>620</v>
      </c>
      <c r="K419" s="24" t="n">
        <v>980</v>
      </c>
      <c r="L419" s="25">
        <f>I419*K419</f>
        <v/>
      </c>
      <c r="M419" s="25">
        <f>I419*J419</f>
        <v/>
      </c>
      <c r="N419" s="25">
        <f>L419-M419</f>
        <v/>
      </c>
      <c r="O419" s="26">
        <f>IFERROR(N419/L419,0)</f>
        <v/>
      </c>
      <c r="P419">
        <f>YEAR(A419)</f>
        <v/>
      </c>
      <c r="Q419">
        <f>TEXT(A419,"mmm")</f>
        <v/>
      </c>
      <c r="R419">
        <f>IF(B419&lt;25,"18-24",IF(B419&lt;35,"25-34",IF(B419&lt;45,"35-44","45+")))</f>
        <v/>
      </c>
    </row>
    <row r="420">
      <c r="A420" s="23" t="n">
        <v>44526</v>
      </c>
      <c r="B420" s="3" t="n">
        <v>36</v>
      </c>
      <c r="C420" s="3" t="inlineStr">
        <is>
          <t>M</t>
        </is>
      </c>
      <c r="D420" s="3" t="inlineStr">
        <is>
          <t>Germany</t>
        </is>
      </c>
      <c r="E420" s="3" t="inlineStr">
        <is>
          <t>Hessen</t>
        </is>
      </c>
      <c r="F420" s="3" t="inlineStr">
        <is>
          <t>Mountain Bikes</t>
        </is>
      </c>
      <c r="G420" s="3" t="inlineStr">
        <is>
          <t>Black</t>
        </is>
      </c>
      <c r="H420" s="3" t="inlineStr">
        <is>
          <t>Mountain-200 Black, 38</t>
        </is>
      </c>
      <c r="I420" s="4" t="n">
        <v>1</v>
      </c>
      <c r="J420" s="24" t="n">
        <v>550</v>
      </c>
      <c r="K420" s="24" t="n">
        <v>850</v>
      </c>
      <c r="L420" s="25">
        <f>I420*K420</f>
        <v/>
      </c>
      <c r="M420" s="25">
        <f>I420*J420</f>
        <v/>
      </c>
      <c r="N420" s="25">
        <f>L420-M420</f>
        <v/>
      </c>
      <c r="O420" s="26">
        <f>IFERROR(N420/L420,0)</f>
        <v/>
      </c>
      <c r="P420">
        <f>YEAR(A420)</f>
        <v/>
      </c>
      <c r="Q420">
        <f>TEXT(A420,"mmm")</f>
        <v/>
      </c>
      <c r="R420">
        <f>IF(B420&lt;25,"18-24",IF(B420&lt;35,"25-34",IF(B420&lt;45,"35-44","45+")))</f>
        <v/>
      </c>
    </row>
    <row r="421">
      <c r="A421" s="23" t="n">
        <v>44530</v>
      </c>
      <c r="B421" s="3" t="n">
        <v>36</v>
      </c>
      <c r="C421" s="3" t="inlineStr">
        <is>
          <t>F</t>
        </is>
      </c>
      <c r="D421" s="3" t="inlineStr">
        <is>
          <t>United States</t>
        </is>
      </c>
      <c r="E421" s="3" t="inlineStr">
        <is>
          <t>California</t>
        </is>
      </c>
      <c r="F421" s="3" t="inlineStr">
        <is>
          <t>Road Bikes</t>
        </is>
      </c>
      <c r="G421" s="3" t="inlineStr">
        <is>
          <t>Red</t>
        </is>
      </c>
      <c r="H421" s="3" t="inlineStr">
        <is>
          <t>Road-650 Red, 62</t>
        </is>
      </c>
      <c r="I421" s="4" t="n">
        <v>1</v>
      </c>
      <c r="J421" s="24" t="n">
        <v>620</v>
      </c>
      <c r="K421" s="24" t="n">
        <v>980</v>
      </c>
      <c r="L421" s="25">
        <f>I421*K421</f>
        <v/>
      </c>
      <c r="M421" s="25">
        <f>I421*J421</f>
        <v/>
      </c>
      <c r="N421" s="25">
        <f>L421-M421</f>
        <v/>
      </c>
      <c r="O421" s="26">
        <f>IFERROR(N421/L421,0)</f>
        <v/>
      </c>
      <c r="P421">
        <f>YEAR(A421)</f>
        <v/>
      </c>
      <c r="Q421">
        <f>TEXT(A421,"mmm")</f>
        <v/>
      </c>
      <c r="R421">
        <f>IF(B421&lt;25,"18-24",IF(B421&lt;35,"25-34",IF(B421&lt;45,"35-44","45+")))</f>
        <v/>
      </c>
    </row>
    <row r="422">
      <c r="A422" s="23" t="n">
        <v>44531</v>
      </c>
      <c r="B422" s="3" t="n">
        <v>36</v>
      </c>
      <c r="C422" s="3" t="inlineStr">
        <is>
          <t>F</t>
        </is>
      </c>
      <c r="D422" s="3" t="inlineStr">
        <is>
          <t>Germany</t>
        </is>
      </c>
      <c r="E422" s="3" t="inlineStr">
        <is>
          <t>Brandenburg</t>
        </is>
      </c>
      <c r="F422" s="3" t="inlineStr">
        <is>
          <t>Road Bikes</t>
        </is>
      </c>
      <c r="G422" s="3" t="inlineStr">
        <is>
          <t>Yellow</t>
        </is>
      </c>
      <c r="H422" s="3" t="inlineStr">
        <is>
          <t>Road-550-W Yellow, 42</t>
        </is>
      </c>
      <c r="I422" s="4" t="n">
        <v>2</v>
      </c>
      <c r="J422" s="24" t="n">
        <v>500</v>
      </c>
      <c r="K422" s="24" t="n">
        <v>800</v>
      </c>
      <c r="L422" s="25">
        <f>I422*K422</f>
        <v/>
      </c>
      <c r="M422" s="25">
        <f>I422*J422</f>
        <v/>
      </c>
      <c r="N422" s="25">
        <f>L422-M422</f>
        <v/>
      </c>
      <c r="O422" s="26">
        <f>IFERROR(N422/L422,0)</f>
        <v/>
      </c>
      <c r="P422">
        <f>YEAR(A422)</f>
        <v/>
      </c>
      <c r="Q422">
        <f>TEXT(A422,"mmm")</f>
        <v/>
      </c>
      <c r="R422">
        <f>IF(B422&lt;25,"18-24",IF(B422&lt;35,"25-34",IF(B422&lt;45,"35-44","45+")))</f>
        <v/>
      </c>
    </row>
    <row r="423">
      <c r="A423" s="23" t="n">
        <v>44536</v>
      </c>
      <c r="B423" s="3" t="n">
        <v>36</v>
      </c>
      <c r="C423" s="3" t="inlineStr">
        <is>
          <t>M</t>
        </is>
      </c>
      <c r="D423" s="3" t="inlineStr">
        <is>
          <t>Australia</t>
        </is>
      </c>
      <c r="E423" s="3" t="inlineStr">
        <is>
          <t>New South Wales</t>
        </is>
      </c>
      <c r="F423" s="3" t="inlineStr">
        <is>
          <t>Mountain Bikes</t>
        </is>
      </c>
      <c r="G423" s="3" t="inlineStr">
        <is>
          <t>Black</t>
        </is>
      </c>
      <c r="H423" s="3" t="inlineStr">
        <is>
          <t>Mountain-200 Black, 42</t>
        </is>
      </c>
      <c r="I423" s="4" t="n">
        <v>1</v>
      </c>
      <c r="J423" s="24" t="n">
        <v>550</v>
      </c>
      <c r="K423" s="24" t="n">
        <v>850</v>
      </c>
      <c r="L423" s="25">
        <f>I423*K423</f>
        <v/>
      </c>
      <c r="M423" s="25">
        <f>I423*J423</f>
        <v/>
      </c>
      <c r="N423" s="25">
        <f>L423-M423</f>
        <v/>
      </c>
      <c r="O423" s="26">
        <f>IFERROR(N423/L423,0)</f>
        <v/>
      </c>
      <c r="P423">
        <f>YEAR(A423)</f>
        <v/>
      </c>
      <c r="Q423">
        <f>TEXT(A423,"mmm")</f>
        <v/>
      </c>
      <c r="R423">
        <f>IF(B423&lt;25,"18-24",IF(B423&lt;35,"25-34",IF(B423&lt;45,"35-44","45+")))</f>
        <v/>
      </c>
    </row>
    <row r="424">
      <c r="A424" s="23" t="n">
        <v>44537</v>
      </c>
      <c r="B424" s="3" t="n">
        <v>36</v>
      </c>
      <c r="C424" s="3" t="inlineStr">
        <is>
          <t>F</t>
        </is>
      </c>
      <c r="D424" s="3" t="inlineStr">
        <is>
          <t>Germany</t>
        </is>
      </c>
      <c r="E424" s="3" t="inlineStr">
        <is>
          <t>Nordrhein-Westfalen</t>
        </is>
      </c>
      <c r="F424" s="3" t="inlineStr">
        <is>
          <t>Road Bikes</t>
        </is>
      </c>
      <c r="G424" s="3" t="inlineStr">
        <is>
          <t>Red</t>
        </is>
      </c>
      <c r="H424" s="3" t="inlineStr">
        <is>
          <t>Road-150 Red, 62</t>
        </is>
      </c>
      <c r="I424" s="4" t="n">
        <v>4</v>
      </c>
      <c r="J424" s="24" t="n">
        <v>900</v>
      </c>
      <c r="K424" s="24" t="n">
        <v>1400</v>
      </c>
      <c r="L424" s="25">
        <f>I424*K424</f>
        <v/>
      </c>
      <c r="M424" s="25">
        <f>I424*J424</f>
        <v/>
      </c>
      <c r="N424" s="25">
        <f>L424-M424</f>
        <v/>
      </c>
      <c r="O424" s="26">
        <f>IFERROR(N424/L424,0)</f>
        <v/>
      </c>
      <c r="P424">
        <f>YEAR(A424)</f>
        <v/>
      </c>
      <c r="Q424">
        <f>TEXT(A424,"mmm")</f>
        <v/>
      </c>
      <c r="R424">
        <f>IF(B424&lt;25,"18-24",IF(B424&lt;35,"25-34",IF(B424&lt;45,"35-44","45+")))</f>
        <v/>
      </c>
    </row>
    <row r="425">
      <c r="A425" s="23" t="n">
        <v>44537</v>
      </c>
      <c r="B425" s="3" t="n">
        <v>36</v>
      </c>
      <c r="C425" s="3" t="inlineStr">
        <is>
          <t>F</t>
        </is>
      </c>
      <c r="D425" s="3" t="inlineStr">
        <is>
          <t>Australia</t>
        </is>
      </c>
      <c r="E425" s="3" t="inlineStr">
        <is>
          <t>New South Wales</t>
        </is>
      </c>
      <c r="F425" s="3" t="inlineStr">
        <is>
          <t>Road Bikes</t>
        </is>
      </c>
      <c r="G425" s="3" t="inlineStr">
        <is>
          <t>Yellow</t>
        </is>
      </c>
      <c r="H425" s="3" t="inlineStr">
        <is>
          <t>Road-350-W Yellow, 40</t>
        </is>
      </c>
      <c r="I425" s="4" t="n">
        <v>1</v>
      </c>
      <c r="J425" s="24" t="n">
        <v>530</v>
      </c>
      <c r="K425" s="24" t="n">
        <v>840</v>
      </c>
      <c r="L425" s="25">
        <f>I425*K425</f>
        <v/>
      </c>
      <c r="M425" s="25">
        <f>I425*J425</f>
        <v/>
      </c>
      <c r="N425" s="25">
        <f>L425-M425</f>
        <v/>
      </c>
      <c r="O425" s="26">
        <f>IFERROR(N425/L425,0)</f>
        <v/>
      </c>
      <c r="P425">
        <f>YEAR(A425)</f>
        <v/>
      </c>
      <c r="Q425">
        <f>TEXT(A425,"mmm")</f>
        <v/>
      </c>
      <c r="R425">
        <f>IF(B425&lt;25,"18-24",IF(B425&lt;35,"25-34",IF(B425&lt;45,"35-44","45+")))</f>
        <v/>
      </c>
    </row>
    <row r="426">
      <c r="A426" s="23" t="n">
        <v>44538</v>
      </c>
      <c r="B426" s="3" t="n">
        <v>36</v>
      </c>
      <c r="C426" s="3" t="inlineStr">
        <is>
          <t>F</t>
        </is>
      </c>
      <c r="D426" s="3" t="inlineStr">
        <is>
          <t>Australia</t>
        </is>
      </c>
      <c r="E426" s="3" t="inlineStr">
        <is>
          <t>New South Wales</t>
        </is>
      </c>
      <c r="F426" s="3" t="inlineStr">
        <is>
          <t>Road Bikes</t>
        </is>
      </c>
      <c r="G426" s="3" t="inlineStr">
        <is>
          <t>Yellow</t>
        </is>
      </c>
      <c r="H426" s="3" t="inlineStr">
        <is>
          <t>Road-350-W Yellow, 40</t>
        </is>
      </c>
      <c r="I426" s="4" t="n">
        <v>4</v>
      </c>
      <c r="J426" s="24" t="n">
        <v>530</v>
      </c>
      <c r="K426" s="24" t="n">
        <v>840</v>
      </c>
      <c r="L426" s="25">
        <f>I426*K426</f>
        <v/>
      </c>
      <c r="M426" s="25">
        <f>I426*J426</f>
        <v/>
      </c>
      <c r="N426" s="25">
        <f>L426-M426</f>
        <v/>
      </c>
      <c r="O426" s="26">
        <f>IFERROR(N426/L426,0)</f>
        <v/>
      </c>
      <c r="P426">
        <f>YEAR(A426)</f>
        <v/>
      </c>
      <c r="Q426">
        <f>TEXT(A426,"mmm")</f>
        <v/>
      </c>
      <c r="R426">
        <f>IF(B426&lt;25,"18-24",IF(B426&lt;35,"25-34",IF(B426&lt;45,"35-44","45+")))</f>
        <v/>
      </c>
    </row>
    <row r="427">
      <c r="A427" s="23" t="n">
        <v>44541</v>
      </c>
      <c r="B427" s="3" t="n">
        <v>36</v>
      </c>
      <c r="C427" s="3" t="inlineStr">
        <is>
          <t>F</t>
        </is>
      </c>
      <c r="D427" s="3" t="inlineStr">
        <is>
          <t>Australia</t>
        </is>
      </c>
      <c r="E427" s="3" t="inlineStr">
        <is>
          <t>Queensland</t>
        </is>
      </c>
      <c r="F427" s="3" t="inlineStr">
        <is>
          <t>Road Bikes</t>
        </is>
      </c>
      <c r="G427" s="3" t="inlineStr">
        <is>
          <t>Yellow</t>
        </is>
      </c>
      <c r="H427" s="3" t="inlineStr">
        <is>
          <t>Road-350-W Yellow, 44</t>
        </is>
      </c>
      <c r="I427" s="4" t="n">
        <v>2</v>
      </c>
      <c r="J427" s="24" t="n">
        <v>530</v>
      </c>
      <c r="K427" s="24" t="n">
        <v>840</v>
      </c>
      <c r="L427" s="25">
        <f>I427*K427</f>
        <v/>
      </c>
      <c r="M427" s="25">
        <f>I427*J427</f>
        <v/>
      </c>
      <c r="N427" s="25">
        <f>L427-M427</f>
        <v/>
      </c>
      <c r="O427" s="26">
        <f>IFERROR(N427/L427,0)</f>
        <v/>
      </c>
      <c r="P427">
        <f>YEAR(A427)</f>
        <v/>
      </c>
      <c r="Q427">
        <f>TEXT(A427,"mmm")</f>
        <v/>
      </c>
      <c r="R427">
        <f>IF(B427&lt;25,"18-24",IF(B427&lt;35,"25-34",IF(B427&lt;45,"35-44","45+")))</f>
        <v/>
      </c>
    </row>
    <row r="428">
      <c r="A428" s="23" t="n">
        <v>44542</v>
      </c>
      <c r="B428" s="3" t="n">
        <v>36</v>
      </c>
      <c r="C428" s="3" t="inlineStr">
        <is>
          <t>F</t>
        </is>
      </c>
      <c r="D428" s="3" t="inlineStr">
        <is>
          <t>Australia</t>
        </is>
      </c>
      <c r="E428" s="3" t="inlineStr">
        <is>
          <t>New South Wales</t>
        </is>
      </c>
      <c r="F428" s="3" t="inlineStr">
        <is>
          <t>Mountain Bikes</t>
        </is>
      </c>
      <c r="G428" s="3" t="inlineStr">
        <is>
          <t>Silver</t>
        </is>
      </c>
      <c r="H428" s="3" t="inlineStr">
        <is>
          <t>Mountain-200 Silver, 42</t>
        </is>
      </c>
      <c r="I428" s="4" t="n">
        <v>4</v>
      </c>
      <c r="J428" s="24" t="n">
        <v>550</v>
      </c>
      <c r="K428" s="24" t="n">
        <v>850</v>
      </c>
      <c r="L428" s="25">
        <f>I428*K428</f>
        <v/>
      </c>
      <c r="M428" s="25">
        <f>I428*J428</f>
        <v/>
      </c>
      <c r="N428" s="25">
        <f>L428-M428</f>
        <v/>
      </c>
      <c r="O428" s="26">
        <f>IFERROR(N428/L428,0)</f>
        <v/>
      </c>
      <c r="P428">
        <f>YEAR(A428)</f>
        <v/>
      </c>
      <c r="Q428">
        <f>TEXT(A428,"mmm")</f>
        <v/>
      </c>
      <c r="R428">
        <f>IF(B428&lt;25,"18-24",IF(B428&lt;35,"25-34",IF(B428&lt;45,"35-44","45+")))</f>
        <v/>
      </c>
    </row>
    <row r="429">
      <c r="A429" s="23" t="n">
        <v>44544</v>
      </c>
      <c r="B429" s="3" t="n">
        <v>36</v>
      </c>
      <c r="C429" s="3" t="inlineStr">
        <is>
          <t>F</t>
        </is>
      </c>
      <c r="D429" s="3" t="inlineStr">
        <is>
          <t>Australia</t>
        </is>
      </c>
      <c r="E429" s="3" t="inlineStr">
        <is>
          <t>South Australia</t>
        </is>
      </c>
      <c r="F429" s="3" t="inlineStr">
        <is>
          <t>Road Bikes</t>
        </is>
      </c>
      <c r="G429" s="3" t="inlineStr">
        <is>
          <t>Red</t>
        </is>
      </c>
      <c r="H429" s="3" t="inlineStr">
        <is>
          <t>Road-150 Red, 52</t>
        </is>
      </c>
      <c r="I429" s="4" t="n">
        <v>2</v>
      </c>
      <c r="J429" s="24" t="n">
        <v>900</v>
      </c>
      <c r="K429" s="24" t="n">
        <v>1400</v>
      </c>
      <c r="L429" s="25">
        <f>I429*K429</f>
        <v/>
      </c>
      <c r="M429" s="25">
        <f>I429*J429</f>
        <v/>
      </c>
      <c r="N429" s="25">
        <f>L429-M429</f>
        <v/>
      </c>
      <c r="O429" s="26">
        <f>IFERROR(N429/L429,0)</f>
        <v/>
      </c>
      <c r="P429">
        <f>YEAR(A429)</f>
        <v/>
      </c>
      <c r="Q429">
        <f>TEXT(A429,"mmm")</f>
        <v/>
      </c>
      <c r="R429">
        <f>IF(B429&lt;25,"18-24",IF(B429&lt;35,"25-34",IF(B429&lt;45,"35-44","45+")))</f>
        <v/>
      </c>
    </row>
    <row r="430">
      <c r="A430" s="23" t="n">
        <v>44544</v>
      </c>
      <c r="B430" s="3" t="n">
        <v>36</v>
      </c>
      <c r="C430" s="3" t="inlineStr">
        <is>
          <t>F</t>
        </is>
      </c>
      <c r="D430" s="3" t="inlineStr">
        <is>
          <t>Australia</t>
        </is>
      </c>
      <c r="E430" s="3" t="inlineStr">
        <is>
          <t>Victoria</t>
        </is>
      </c>
      <c r="F430" s="3" t="inlineStr">
        <is>
          <t>Road Bikes</t>
        </is>
      </c>
      <c r="G430" s="3" t="inlineStr">
        <is>
          <t>Yellow</t>
        </is>
      </c>
      <c r="H430" s="3" t="inlineStr">
        <is>
          <t>Road-550-W Yellow, 48</t>
        </is>
      </c>
      <c r="I430" s="4" t="n">
        <v>1</v>
      </c>
      <c r="J430" s="24" t="n">
        <v>500</v>
      </c>
      <c r="K430" s="24" t="n">
        <v>800</v>
      </c>
      <c r="L430" s="25">
        <f>I430*K430</f>
        <v/>
      </c>
      <c r="M430" s="25">
        <f>I430*J430</f>
        <v/>
      </c>
      <c r="N430" s="25">
        <f>L430-M430</f>
        <v/>
      </c>
      <c r="O430" s="26">
        <f>IFERROR(N430/L430,0)</f>
        <v/>
      </c>
      <c r="P430">
        <f>YEAR(A430)</f>
        <v/>
      </c>
      <c r="Q430">
        <f>TEXT(A430,"mmm")</f>
        <v/>
      </c>
      <c r="R430">
        <f>IF(B430&lt;25,"18-24",IF(B430&lt;35,"25-34",IF(B430&lt;45,"35-44","45+")))</f>
        <v/>
      </c>
    </row>
    <row r="431">
      <c r="A431" s="23" t="n">
        <v>44545</v>
      </c>
      <c r="B431" s="3" t="n">
        <v>36</v>
      </c>
      <c r="C431" s="3" t="inlineStr">
        <is>
          <t>M</t>
        </is>
      </c>
      <c r="D431" s="3" t="inlineStr">
        <is>
          <t>Germany</t>
        </is>
      </c>
      <c r="E431" s="3" t="inlineStr">
        <is>
          <t>Saarland</t>
        </is>
      </c>
      <c r="F431" s="3" t="inlineStr">
        <is>
          <t>Road Bikes</t>
        </is>
      </c>
      <c r="G431" s="3" t="inlineStr">
        <is>
          <t>Yellow</t>
        </is>
      </c>
      <c r="H431" s="3" t="inlineStr">
        <is>
          <t>Road-350-W Yellow, 48</t>
        </is>
      </c>
      <c r="I431" s="4" t="n">
        <v>3</v>
      </c>
      <c r="J431" s="24" t="n">
        <v>530</v>
      </c>
      <c r="K431" s="24" t="n">
        <v>840</v>
      </c>
      <c r="L431" s="25">
        <f>I431*K431</f>
        <v/>
      </c>
      <c r="M431" s="25">
        <f>I431*J431</f>
        <v/>
      </c>
      <c r="N431" s="25">
        <f>L431-M431</f>
        <v/>
      </c>
      <c r="O431" s="26">
        <f>IFERROR(N431/L431,0)</f>
        <v/>
      </c>
      <c r="P431">
        <f>YEAR(A431)</f>
        <v/>
      </c>
      <c r="Q431">
        <f>TEXT(A431,"mmm")</f>
        <v/>
      </c>
      <c r="R431">
        <f>IF(B431&lt;25,"18-24",IF(B431&lt;35,"25-34",IF(B431&lt;45,"35-44","45+")))</f>
        <v/>
      </c>
    </row>
    <row r="432">
      <c r="A432" s="23" t="n">
        <v>44547</v>
      </c>
      <c r="B432" s="3" t="n">
        <v>36</v>
      </c>
      <c r="C432" s="3" t="inlineStr">
        <is>
          <t>F</t>
        </is>
      </c>
      <c r="D432" s="3" t="inlineStr">
        <is>
          <t>Australia</t>
        </is>
      </c>
      <c r="E432" s="3" t="inlineStr">
        <is>
          <t>New South Wales</t>
        </is>
      </c>
      <c r="F432" s="3" t="inlineStr">
        <is>
          <t>Road Bikes</t>
        </is>
      </c>
      <c r="G432" s="3" t="inlineStr">
        <is>
          <t>Yellow</t>
        </is>
      </c>
      <c r="H432" s="3" t="inlineStr">
        <is>
          <t>Road-350-W Yellow, 40</t>
        </is>
      </c>
      <c r="I432" s="4" t="n">
        <v>4</v>
      </c>
      <c r="J432" s="24" t="n">
        <v>530</v>
      </c>
      <c r="K432" s="24" t="n">
        <v>840</v>
      </c>
      <c r="L432" s="25">
        <f>I432*K432</f>
        <v/>
      </c>
      <c r="M432" s="25">
        <f>I432*J432</f>
        <v/>
      </c>
      <c r="N432" s="25">
        <f>L432-M432</f>
        <v/>
      </c>
      <c r="O432" s="26">
        <f>IFERROR(N432/L432,0)</f>
        <v/>
      </c>
      <c r="P432">
        <f>YEAR(A432)</f>
        <v/>
      </c>
      <c r="Q432">
        <f>TEXT(A432,"mmm")</f>
        <v/>
      </c>
      <c r="R432">
        <f>IF(B432&lt;25,"18-24",IF(B432&lt;35,"25-34",IF(B432&lt;45,"35-44","45+")))</f>
        <v/>
      </c>
    </row>
    <row r="433">
      <c r="A433" s="23" t="n">
        <v>44548</v>
      </c>
      <c r="B433" s="3" t="n">
        <v>36</v>
      </c>
      <c r="C433" s="3" t="inlineStr">
        <is>
          <t>M</t>
        </is>
      </c>
      <c r="D433" s="3" t="inlineStr">
        <is>
          <t>United States</t>
        </is>
      </c>
      <c r="E433" s="3" t="inlineStr">
        <is>
          <t>Washington</t>
        </is>
      </c>
      <c r="F433" s="3" t="inlineStr">
        <is>
          <t>Mountain Bikes</t>
        </is>
      </c>
      <c r="G433" s="3" t="inlineStr">
        <is>
          <t>Silver</t>
        </is>
      </c>
      <c r="H433" s="3" t="inlineStr">
        <is>
          <t>Mountain-200 Silver, 38</t>
        </is>
      </c>
      <c r="I433" s="4" t="n">
        <v>1</v>
      </c>
      <c r="J433" s="24" t="n">
        <v>550</v>
      </c>
      <c r="K433" s="24" t="n">
        <v>850</v>
      </c>
      <c r="L433" s="25">
        <f>I433*K433</f>
        <v/>
      </c>
      <c r="M433" s="25">
        <f>I433*J433</f>
        <v/>
      </c>
      <c r="N433" s="25">
        <f>L433-M433</f>
        <v/>
      </c>
      <c r="O433" s="26">
        <f>IFERROR(N433/L433,0)</f>
        <v/>
      </c>
      <c r="P433">
        <f>YEAR(A433)</f>
        <v/>
      </c>
      <c r="Q433">
        <f>TEXT(A433,"mmm")</f>
        <v/>
      </c>
      <c r="R433">
        <f>IF(B433&lt;25,"18-24",IF(B433&lt;35,"25-34",IF(B433&lt;45,"35-44","45+")))</f>
        <v/>
      </c>
    </row>
    <row r="434">
      <c r="A434" s="23" t="n">
        <v>44554</v>
      </c>
      <c r="B434" s="3" t="n">
        <v>36</v>
      </c>
      <c r="C434" s="3" t="inlineStr">
        <is>
          <t>M</t>
        </is>
      </c>
      <c r="D434" s="3" t="inlineStr">
        <is>
          <t>Australia</t>
        </is>
      </c>
      <c r="E434" s="3" t="inlineStr">
        <is>
          <t>Queensland</t>
        </is>
      </c>
      <c r="F434" s="3" t="inlineStr">
        <is>
          <t>Road Bikes</t>
        </is>
      </c>
      <c r="G434" s="3" t="inlineStr">
        <is>
          <t>Yellow</t>
        </is>
      </c>
      <c r="H434" s="3" t="inlineStr">
        <is>
          <t>Road-550-W Yellow, 44</t>
        </is>
      </c>
      <c r="I434" s="4" t="n">
        <v>2</v>
      </c>
      <c r="J434" s="24" t="n">
        <v>500</v>
      </c>
      <c r="K434" s="24" t="n">
        <v>800</v>
      </c>
      <c r="L434" s="25">
        <f>I434*K434</f>
        <v/>
      </c>
      <c r="M434" s="25">
        <f>I434*J434</f>
        <v/>
      </c>
      <c r="N434" s="25">
        <f>L434-M434</f>
        <v/>
      </c>
      <c r="O434" s="26">
        <f>IFERROR(N434/L434,0)</f>
        <v/>
      </c>
      <c r="P434">
        <f>YEAR(A434)</f>
        <v/>
      </c>
      <c r="Q434">
        <f>TEXT(A434,"mmm")</f>
        <v/>
      </c>
      <c r="R434">
        <f>IF(B434&lt;25,"18-24",IF(B434&lt;35,"25-34",IF(B434&lt;45,"35-44","45+")))</f>
        <v/>
      </c>
    </row>
    <row r="435">
      <c r="A435" s="23" t="n">
        <v>44554</v>
      </c>
      <c r="B435" s="3" t="n">
        <v>36</v>
      </c>
      <c r="C435" s="3" t="inlineStr">
        <is>
          <t>M</t>
        </is>
      </c>
      <c r="D435" s="3" t="inlineStr">
        <is>
          <t>Germany</t>
        </is>
      </c>
      <c r="E435" s="3" t="inlineStr">
        <is>
          <t>Hessen</t>
        </is>
      </c>
      <c r="F435" s="3" t="inlineStr">
        <is>
          <t>Road Bikes</t>
        </is>
      </c>
      <c r="G435" s="3" t="inlineStr">
        <is>
          <t>Yellow</t>
        </is>
      </c>
      <c r="H435" s="3" t="inlineStr">
        <is>
          <t>Road-550-W Yellow, 48</t>
        </is>
      </c>
      <c r="I435" s="4" t="n">
        <v>1</v>
      </c>
      <c r="J435" s="24" t="n">
        <v>500</v>
      </c>
      <c r="K435" s="24" t="n">
        <v>800</v>
      </c>
      <c r="L435" s="25">
        <f>I435*K435</f>
        <v/>
      </c>
      <c r="M435" s="25">
        <f>I435*J435</f>
        <v/>
      </c>
      <c r="N435" s="25">
        <f>L435-M435</f>
        <v/>
      </c>
      <c r="O435" s="26">
        <f>IFERROR(N435/L435,0)</f>
        <v/>
      </c>
      <c r="P435">
        <f>YEAR(A435)</f>
        <v/>
      </c>
      <c r="Q435">
        <f>TEXT(A435,"mmm")</f>
        <v/>
      </c>
      <c r="R435">
        <f>IF(B435&lt;25,"18-24",IF(B435&lt;35,"25-34",IF(B435&lt;45,"35-44","45+")))</f>
        <v/>
      </c>
    </row>
    <row r="436">
      <c r="A436" s="23" t="n">
        <v>44557</v>
      </c>
      <c r="B436" s="3" t="n">
        <v>36</v>
      </c>
      <c r="C436" s="3" t="inlineStr">
        <is>
          <t>F</t>
        </is>
      </c>
      <c r="D436" s="3" t="inlineStr">
        <is>
          <t>Germany</t>
        </is>
      </c>
      <c r="E436" s="3" t="inlineStr">
        <is>
          <t>Hessen</t>
        </is>
      </c>
      <c r="F436" s="3" t="inlineStr">
        <is>
          <t>Road Bikes</t>
        </is>
      </c>
      <c r="G436" s="3" t="inlineStr">
        <is>
          <t>Black</t>
        </is>
      </c>
      <c r="H436" s="3" t="inlineStr">
        <is>
          <t>Road-250 Black, 58</t>
        </is>
      </c>
      <c r="I436" s="4" t="n">
        <v>1</v>
      </c>
      <c r="J436" s="24" t="n">
        <v>580</v>
      </c>
      <c r="K436" s="24" t="n">
        <v>920</v>
      </c>
      <c r="L436" s="25">
        <f>I436*K436</f>
        <v/>
      </c>
      <c r="M436" s="25">
        <f>I436*J436</f>
        <v/>
      </c>
      <c r="N436" s="25">
        <f>L436-M436</f>
        <v/>
      </c>
      <c r="O436" s="26">
        <f>IFERROR(N436/L436,0)</f>
        <v/>
      </c>
      <c r="P436">
        <f>YEAR(A436)</f>
        <v/>
      </c>
      <c r="Q436">
        <f>TEXT(A436,"mmm")</f>
        <v/>
      </c>
      <c r="R436">
        <f>IF(B436&lt;25,"18-24",IF(B436&lt;35,"25-34",IF(B436&lt;45,"35-44","45+")))</f>
        <v/>
      </c>
    </row>
    <row r="437">
      <c r="A437" s="23" t="n">
        <v>44558</v>
      </c>
      <c r="B437" s="3" t="n">
        <v>36</v>
      </c>
      <c r="C437" s="3" t="inlineStr">
        <is>
          <t>M</t>
        </is>
      </c>
      <c r="D437" s="3" t="inlineStr">
        <is>
          <t>Canada</t>
        </is>
      </c>
      <c r="E437" s="3" t="inlineStr">
        <is>
          <t>British Columbia</t>
        </is>
      </c>
      <c r="F437" s="3" t="inlineStr">
        <is>
          <t>Road Bikes</t>
        </is>
      </c>
      <c r="G437" s="3" t="inlineStr">
        <is>
          <t>Black</t>
        </is>
      </c>
      <c r="H437" s="3" t="inlineStr">
        <is>
          <t>Road-750 Black, 44</t>
        </is>
      </c>
      <c r="I437" s="4" t="n">
        <v>3</v>
      </c>
      <c r="J437" s="24" t="n">
        <v>700</v>
      </c>
      <c r="K437" s="24" t="n">
        <v>1100</v>
      </c>
      <c r="L437" s="25">
        <f>I437*K437</f>
        <v/>
      </c>
      <c r="M437" s="25">
        <f>I437*J437</f>
        <v/>
      </c>
      <c r="N437" s="25">
        <f>L437-M437</f>
        <v/>
      </c>
      <c r="O437" s="26">
        <f>IFERROR(N437/L437,0)</f>
        <v/>
      </c>
      <c r="P437">
        <f>YEAR(A437)</f>
        <v/>
      </c>
      <c r="Q437">
        <f>TEXT(A437,"mmm")</f>
        <v/>
      </c>
      <c r="R437">
        <f>IF(B437&lt;25,"18-24",IF(B437&lt;35,"25-34",IF(B437&lt;45,"35-44","45+")))</f>
        <v/>
      </c>
    </row>
    <row r="438">
      <c r="A438" s="23" t="n">
        <v>44560</v>
      </c>
      <c r="B438" s="3" t="n">
        <v>36</v>
      </c>
      <c r="C438" s="3" t="inlineStr">
        <is>
          <t>M</t>
        </is>
      </c>
      <c r="D438" s="3" t="inlineStr">
        <is>
          <t>Australia</t>
        </is>
      </c>
      <c r="E438" s="3" t="inlineStr">
        <is>
          <t>Queensland</t>
        </is>
      </c>
      <c r="F438" s="3" t="inlineStr">
        <is>
          <t>Road Bikes</t>
        </is>
      </c>
      <c r="G438" s="3" t="inlineStr">
        <is>
          <t>Yellow</t>
        </is>
      </c>
      <c r="H438" s="3" t="inlineStr">
        <is>
          <t>Road-550-W Yellow, 44</t>
        </is>
      </c>
      <c r="I438" s="4" t="n">
        <v>1</v>
      </c>
      <c r="J438" s="24" t="n">
        <v>500</v>
      </c>
      <c r="K438" s="24" t="n">
        <v>800</v>
      </c>
      <c r="L438" s="25">
        <f>I438*K438</f>
        <v/>
      </c>
      <c r="M438" s="25">
        <f>I438*J438</f>
        <v/>
      </c>
      <c r="N438" s="25">
        <f>L438-M438</f>
        <v/>
      </c>
      <c r="O438" s="26">
        <f>IFERROR(N438/L438,0)</f>
        <v/>
      </c>
      <c r="P438">
        <f>YEAR(A438)</f>
        <v/>
      </c>
      <c r="Q438">
        <f>TEXT(A438,"mmm")</f>
        <v/>
      </c>
      <c r="R438">
        <f>IF(B438&lt;25,"18-24",IF(B438&lt;35,"25-34",IF(B438&lt;45,"35-44","45+")))</f>
        <v/>
      </c>
    </row>
    <row r="439">
      <c r="A439" s="23" t="n">
        <v>44561</v>
      </c>
      <c r="B439" s="3" t="n">
        <v>36</v>
      </c>
      <c r="C439" s="3" t="inlineStr">
        <is>
          <t>F</t>
        </is>
      </c>
      <c r="D439" s="3" t="inlineStr">
        <is>
          <t>Australia</t>
        </is>
      </c>
      <c r="E439" s="3" t="inlineStr">
        <is>
          <t>New South Wales</t>
        </is>
      </c>
      <c r="F439" s="3" t="inlineStr">
        <is>
          <t>Mountain Bikes</t>
        </is>
      </c>
      <c r="G439" s="3" t="inlineStr">
        <is>
          <t>Silver</t>
        </is>
      </c>
      <c r="H439" s="3" t="inlineStr">
        <is>
          <t>Mountain-200 Silver, 42</t>
        </is>
      </c>
      <c r="I439" s="4" t="n">
        <v>3</v>
      </c>
      <c r="J439" s="24" t="n">
        <v>550</v>
      </c>
      <c r="K439" s="24" t="n">
        <v>850</v>
      </c>
      <c r="L439" s="25">
        <f>I439*K439</f>
        <v/>
      </c>
      <c r="M439" s="25">
        <f>I439*J439</f>
        <v/>
      </c>
      <c r="N439" s="25">
        <f>L439-M439</f>
        <v/>
      </c>
      <c r="O439" s="26">
        <f>IFERROR(N439/L439,0)</f>
        <v/>
      </c>
      <c r="P439">
        <f>YEAR(A439)</f>
        <v/>
      </c>
      <c r="Q439">
        <f>TEXT(A439,"mmm")</f>
        <v/>
      </c>
      <c r="R439">
        <f>IF(B439&lt;25,"18-24",IF(B439&lt;35,"25-34",IF(B439&lt;45,"35-44","45+")))</f>
        <v/>
      </c>
    </row>
    <row r="440">
      <c r="A440" s="23" t="n">
        <v>44475</v>
      </c>
      <c r="B440" s="3" t="n">
        <v>37</v>
      </c>
      <c r="C440" s="3" t="inlineStr">
        <is>
          <t>M</t>
        </is>
      </c>
      <c r="D440" s="3" t="inlineStr">
        <is>
          <t>Australia</t>
        </is>
      </c>
      <c r="E440" s="3" t="inlineStr">
        <is>
          <t>New South Wales</t>
        </is>
      </c>
      <c r="F440" s="3" t="inlineStr">
        <is>
          <t>Road Bikes</t>
        </is>
      </c>
      <c r="G440" s="3" t="inlineStr">
        <is>
          <t>Yellow</t>
        </is>
      </c>
      <c r="H440" s="3" t="inlineStr">
        <is>
          <t>Road-350-W Yellow, 42</t>
        </is>
      </c>
      <c r="I440" s="4" t="n">
        <v>4</v>
      </c>
      <c r="J440" s="24" t="n">
        <v>530</v>
      </c>
      <c r="K440" s="24" t="n">
        <v>840</v>
      </c>
      <c r="L440" s="25">
        <f>I440*K440</f>
        <v/>
      </c>
      <c r="M440" s="25">
        <f>I440*J440</f>
        <v/>
      </c>
      <c r="N440" s="25">
        <f>L440-M440</f>
        <v/>
      </c>
      <c r="O440" s="26">
        <f>IFERROR(N440/L440,0)</f>
        <v/>
      </c>
      <c r="P440">
        <f>YEAR(A440)</f>
        <v/>
      </c>
      <c r="Q440">
        <f>TEXT(A440,"mmm")</f>
        <v/>
      </c>
      <c r="R440">
        <f>IF(B440&lt;25,"18-24",IF(B440&lt;35,"25-34",IF(B440&lt;45,"35-44","45+")))</f>
        <v/>
      </c>
    </row>
    <row r="441">
      <c r="A441" s="23" t="n">
        <v>44476</v>
      </c>
      <c r="B441" s="3" t="n">
        <v>37</v>
      </c>
      <c r="C441" s="3" t="inlineStr">
        <is>
          <t>F</t>
        </is>
      </c>
      <c r="D441" s="3" t="inlineStr">
        <is>
          <t>Australia</t>
        </is>
      </c>
      <c r="E441" s="3" t="inlineStr">
        <is>
          <t>New South Wales</t>
        </is>
      </c>
      <c r="F441" s="3" t="inlineStr">
        <is>
          <t>Road Bikes</t>
        </is>
      </c>
      <c r="G441" s="3" t="inlineStr">
        <is>
          <t>Yellow</t>
        </is>
      </c>
      <c r="H441" s="3" t="inlineStr">
        <is>
          <t>Road-550-W Yellow, 38</t>
        </is>
      </c>
      <c r="I441" s="4" t="n">
        <v>1</v>
      </c>
      <c r="J441" s="24" t="n">
        <v>500</v>
      </c>
      <c r="K441" s="24" t="n">
        <v>800</v>
      </c>
      <c r="L441" s="25">
        <f>I441*K441</f>
        <v/>
      </c>
      <c r="M441" s="25">
        <f>I441*J441</f>
        <v/>
      </c>
      <c r="N441" s="25">
        <f>L441-M441</f>
        <v/>
      </c>
      <c r="O441" s="26">
        <f>IFERROR(N441/L441,0)</f>
        <v/>
      </c>
      <c r="P441">
        <f>YEAR(A441)</f>
        <v/>
      </c>
      <c r="Q441">
        <f>TEXT(A441,"mmm")</f>
        <v/>
      </c>
      <c r="R441">
        <f>IF(B441&lt;25,"18-24",IF(B441&lt;35,"25-34",IF(B441&lt;45,"35-44","45+")))</f>
        <v/>
      </c>
    </row>
    <row r="442">
      <c r="A442" s="23" t="n">
        <v>44480</v>
      </c>
      <c r="B442" s="3" t="n">
        <v>37</v>
      </c>
      <c r="C442" s="3" t="inlineStr">
        <is>
          <t>F</t>
        </is>
      </c>
      <c r="D442" s="3" t="inlineStr">
        <is>
          <t>Australia</t>
        </is>
      </c>
      <c r="E442" s="3" t="inlineStr">
        <is>
          <t>South Australia</t>
        </is>
      </c>
      <c r="F442" s="3" t="inlineStr">
        <is>
          <t>Road Bikes</t>
        </is>
      </c>
      <c r="G442" s="3" t="inlineStr">
        <is>
          <t>Yellow</t>
        </is>
      </c>
      <c r="H442" s="3" t="inlineStr">
        <is>
          <t>Road-350-W Yellow, 40</t>
        </is>
      </c>
      <c r="I442" s="4" t="n">
        <v>4</v>
      </c>
      <c r="J442" s="24" t="n">
        <v>530</v>
      </c>
      <c r="K442" s="24" t="n">
        <v>840</v>
      </c>
      <c r="L442" s="25">
        <f>I442*K442</f>
        <v/>
      </c>
      <c r="M442" s="25">
        <f>I442*J442</f>
        <v/>
      </c>
      <c r="N442" s="25">
        <f>L442-M442</f>
        <v/>
      </c>
      <c r="O442" s="26">
        <f>IFERROR(N442/L442,0)</f>
        <v/>
      </c>
      <c r="P442">
        <f>YEAR(A442)</f>
        <v/>
      </c>
      <c r="Q442">
        <f>TEXT(A442,"mmm")</f>
        <v/>
      </c>
      <c r="R442">
        <f>IF(B442&lt;25,"18-24",IF(B442&lt;35,"25-34",IF(B442&lt;45,"35-44","45+")))</f>
        <v/>
      </c>
    </row>
    <row r="443">
      <c r="A443" s="23" t="n">
        <v>44480</v>
      </c>
      <c r="B443" s="3" t="n">
        <v>37</v>
      </c>
      <c r="C443" s="3" t="inlineStr">
        <is>
          <t>F</t>
        </is>
      </c>
      <c r="D443" s="3" t="inlineStr">
        <is>
          <t>Australia</t>
        </is>
      </c>
      <c r="E443" s="3" t="inlineStr">
        <is>
          <t>New South Wales</t>
        </is>
      </c>
      <c r="F443" s="3" t="inlineStr">
        <is>
          <t>Road Bikes</t>
        </is>
      </c>
      <c r="G443" s="3" t="inlineStr">
        <is>
          <t>Yellow</t>
        </is>
      </c>
      <c r="H443" s="3" t="inlineStr">
        <is>
          <t>Road-550-W Yellow, 38</t>
        </is>
      </c>
      <c r="I443" s="4" t="n">
        <v>3</v>
      </c>
      <c r="J443" s="24" t="n">
        <v>500</v>
      </c>
      <c r="K443" s="24" t="n">
        <v>800</v>
      </c>
      <c r="L443" s="25">
        <f>I443*K443</f>
        <v/>
      </c>
      <c r="M443" s="25">
        <f>I443*J443</f>
        <v/>
      </c>
      <c r="N443" s="25">
        <f>L443-M443</f>
        <v/>
      </c>
      <c r="O443" s="26">
        <f>IFERROR(N443/L443,0)</f>
        <v/>
      </c>
      <c r="P443">
        <f>YEAR(A443)</f>
        <v/>
      </c>
      <c r="Q443">
        <f>TEXT(A443,"mmm")</f>
        <v/>
      </c>
      <c r="R443">
        <f>IF(B443&lt;25,"18-24",IF(B443&lt;35,"25-34",IF(B443&lt;45,"35-44","45+")))</f>
        <v/>
      </c>
    </row>
    <row r="444">
      <c r="A444" s="23" t="n">
        <v>44481</v>
      </c>
      <c r="B444" s="3" t="n">
        <v>37</v>
      </c>
      <c r="C444" s="3" t="inlineStr">
        <is>
          <t>M</t>
        </is>
      </c>
      <c r="D444" s="3" t="inlineStr">
        <is>
          <t>Australia</t>
        </is>
      </c>
      <c r="E444" s="3" t="inlineStr">
        <is>
          <t>Victoria</t>
        </is>
      </c>
      <c r="F444" s="3" t="inlineStr">
        <is>
          <t>Road Bikes</t>
        </is>
      </c>
      <c r="G444" s="3" t="inlineStr">
        <is>
          <t>Yellow</t>
        </is>
      </c>
      <c r="H444" s="3" t="inlineStr">
        <is>
          <t>Road-550-W Yellow, 48</t>
        </is>
      </c>
      <c r="I444" s="4" t="n">
        <v>4</v>
      </c>
      <c r="J444" s="24" t="n">
        <v>500</v>
      </c>
      <c r="K444" s="24" t="n">
        <v>800</v>
      </c>
      <c r="L444" s="25">
        <f>I444*K444</f>
        <v/>
      </c>
      <c r="M444" s="25">
        <f>I444*J444</f>
        <v/>
      </c>
      <c r="N444" s="25">
        <f>L444-M444</f>
        <v/>
      </c>
      <c r="O444" s="26">
        <f>IFERROR(N444/L444,0)</f>
        <v/>
      </c>
      <c r="P444">
        <f>YEAR(A444)</f>
        <v/>
      </c>
      <c r="Q444">
        <f>TEXT(A444,"mmm")</f>
        <v/>
      </c>
      <c r="R444">
        <f>IF(B444&lt;25,"18-24",IF(B444&lt;35,"25-34",IF(B444&lt;45,"35-44","45+")))</f>
        <v/>
      </c>
    </row>
    <row r="445">
      <c r="A445" s="23" t="n">
        <v>44481</v>
      </c>
      <c r="B445" s="3" t="n">
        <v>37</v>
      </c>
      <c r="C445" s="3" t="inlineStr">
        <is>
          <t>M</t>
        </is>
      </c>
      <c r="D445" s="3" t="inlineStr">
        <is>
          <t>United Kingdom</t>
        </is>
      </c>
      <c r="E445" s="3" t="inlineStr">
        <is>
          <t>England</t>
        </is>
      </c>
      <c r="F445" s="3" t="inlineStr">
        <is>
          <t>Mountain Bikes</t>
        </is>
      </c>
      <c r="G445" s="3" t="inlineStr">
        <is>
          <t>Silver</t>
        </is>
      </c>
      <c r="H445" s="3" t="inlineStr">
        <is>
          <t>Mountain-500 Silver, 40</t>
        </is>
      </c>
      <c r="I445" s="4" t="n">
        <v>3</v>
      </c>
      <c r="J445" s="24" t="n">
        <v>480</v>
      </c>
      <c r="K445" s="24" t="n">
        <v>760</v>
      </c>
      <c r="L445" s="25">
        <f>I445*K445</f>
        <v/>
      </c>
      <c r="M445" s="25">
        <f>I445*J445</f>
        <v/>
      </c>
      <c r="N445" s="25">
        <f>L445-M445</f>
        <v/>
      </c>
      <c r="O445" s="26">
        <f>IFERROR(N445/L445,0)</f>
        <v/>
      </c>
      <c r="P445">
        <f>YEAR(A445)</f>
        <v/>
      </c>
      <c r="Q445">
        <f>TEXT(A445,"mmm")</f>
        <v/>
      </c>
      <c r="R445">
        <f>IF(B445&lt;25,"18-24",IF(B445&lt;35,"25-34",IF(B445&lt;45,"35-44","45+")))</f>
        <v/>
      </c>
    </row>
    <row r="446">
      <c r="A446" s="23" t="n">
        <v>44483</v>
      </c>
      <c r="B446" s="3" t="n">
        <v>37</v>
      </c>
      <c r="C446" s="3" t="inlineStr">
        <is>
          <t>F</t>
        </is>
      </c>
      <c r="D446" s="3" t="inlineStr">
        <is>
          <t>Australia</t>
        </is>
      </c>
      <c r="E446" s="3" t="inlineStr">
        <is>
          <t>New South Wales</t>
        </is>
      </c>
      <c r="F446" s="3" t="inlineStr">
        <is>
          <t>Road Bikes</t>
        </is>
      </c>
      <c r="G446" s="3" t="inlineStr">
        <is>
          <t>Yellow</t>
        </is>
      </c>
      <c r="H446" s="3" t="inlineStr">
        <is>
          <t>Road-550-W Yellow, 38</t>
        </is>
      </c>
      <c r="I446" s="4" t="n">
        <v>4</v>
      </c>
      <c r="J446" s="24" t="n">
        <v>500</v>
      </c>
      <c r="K446" s="24" t="n">
        <v>800</v>
      </c>
      <c r="L446" s="25">
        <f>I446*K446</f>
        <v/>
      </c>
      <c r="M446" s="25">
        <f>I446*J446</f>
        <v/>
      </c>
      <c r="N446" s="25">
        <f>L446-M446</f>
        <v/>
      </c>
      <c r="O446" s="26">
        <f>IFERROR(N446/L446,0)</f>
        <v/>
      </c>
      <c r="P446">
        <f>YEAR(A446)</f>
        <v/>
      </c>
      <c r="Q446">
        <f>TEXT(A446,"mmm")</f>
        <v/>
      </c>
      <c r="R446">
        <f>IF(B446&lt;25,"18-24",IF(B446&lt;35,"25-34",IF(B446&lt;45,"35-44","45+")))</f>
        <v/>
      </c>
    </row>
    <row r="447">
      <c r="A447" s="23" t="n">
        <v>44491</v>
      </c>
      <c r="B447" s="3" t="n">
        <v>37</v>
      </c>
      <c r="C447" s="3" t="inlineStr">
        <is>
          <t>M</t>
        </is>
      </c>
      <c r="D447" s="3" t="inlineStr">
        <is>
          <t>United Kingdom</t>
        </is>
      </c>
      <c r="E447" s="3" t="inlineStr">
        <is>
          <t>England</t>
        </is>
      </c>
      <c r="F447" s="3" t="inlineStr">
        <is>
          <t>Road Bikes</t>
        </is>
      </c>
      <c r="G447" s="3" t="inlineStr">
        <is>
          <t>Yellow</t>
        </is>
      </c>
      <c r="H447" s="3" t="inlineStr">
        <is>
          <t>Road-350-W Yellow, 40</t>
        </is>
      </c>
      <c r="I447" s="4" t="n">
        <v>1</v>
      </c>
      <c r="J447" s="24" t="n">
        <v>530</v>
      </c>
      <c r="K447" s="24" t="n">
        <v>840</v>
      </c>
      <c r="L447" s="25">
        <f>I447*K447</f>
        <v/>
      </c>
      <c r="M447" s="25">
        <f>I447*J447</f>
        <v/>
      </c>
      <c r="N447" s="25">
        <f>L447-M447</f>
        <v/>
      </c>
      <c r="O447" s="26">
        <f>IFERROR(N447/L447,0)</f>
        <v/>
      </c>
      <c r="P447">
        <f>YEAR(A447)</f>
        <v/>
      </c>
      <c r="Q447">
        <f>TEXT(A447,"mmm")</f>
        <v/>
      </c>
      <c r="R447">
        <f>IF(B447&lt;25,"18-24",IF(B447&lt;35,"25-34",IF(B447&lt;45,"35-44","45+")))</f>
        <v/>
      </c>
    </row>
    <row r="448">
      <c r="A448" s="23" t="n">
        <v>44494</v>
      </c>
      <c r="B448" s="3" t="n">
        <v>37</v>
      </c>
      <c r="C448" s="3" t="inlineStr">
        <is>
          <t>F</t>
        </is>
      </c>
      <c r="D448" s="3" t="inlineStr">
        <is>
          <t>Canada</t>
        </is>
      </c>
      <c r="E448" s="3" t="inlineStr">
        <is>
          <t>British Columbia</t>
        </is>
      </c>
      <c r="F448" s="3" t="inlineStr">
        <is>
          <t>Road Bikes</t>
        </is>
      </c>
      <c r="G448" s="3" t="inlineStr">
        <is>
          <t>Red</t>
        </is>
      </c>
      <c r="H448" s="3" t="inlineStr">
        <is>
          <t>Road-650 Red, 60</t>
        </is>
      </c>
      <c r="I448" s="4" t="n">
        <v>1</v>
      </c>
      <c r="J448" s="24" t="n">
        <v>500</v>
      </c>
      <c r="K448" s="24" t="n">
        <v>950</v>
      </c>
      <c r="L448" s="25">
        <f>I448*K448</f>
        <v/>
      </c>
      <c r="M448" s="25">
        <f>I448*J448</f>
        <v/>
      </c>
      <c r="N448" s="25">
        <f>L448-M448</f>
        <v/>
      </c>
      <c r="O448" s="26">
        <f>IFERROR(N448/L448,0)</f>
        <v/>
      </c>
      <c r="P448">
        <f>YEAR(A448)</f>
        <v/>
      </c>
      <c r="Q448">
        <f>TEXT(A448,"mmm")</f>
        <v/>
      </c>
      <c r="R448">
        <f>IF(B448&lt;25,"18-24",IF(B448&lt;35,"25-34",IF(B448&lt;45,"35-44","45+")))</f>
        <v/>
      </c>
    </row>
    <row r="449">
      <c r="A449" s="23" t="n">
        <v>44495</v>
      </c>
      <c r="B449" s="3" t="n">
        <v>37</v>
      </c>
      <c r="C449" s="3" t="inlineStr">
        <is>
          <t>F</t>
        </is>
      </c>
      <c r="D449" s="3" t="inlineStr">
        <is>
          <t>United States</t>
        </is>
      </c>
      <c r="E449" s="3" t="inlineStr">
        <is>
          <t>Oregon</t>
        </is>
      </c>
      <c r="F449" s="3" t="inlineStr">
        <is>
          <t>Road Bikes</t>
        </is>
      </c>
      <c r="G449" s="3" t="inlineStr">
        <is>
          <t>Yellow</t>
        </is>
      </c>
      <c r="H449" s="3" t="inlineStr">
        <is>
          <t>Road-550-W Yellow, 42</t>
        </is>
      </c>
      <c r="I449" s="4" t="n">
        <v>1</v>
      </c>
      <c r="J449" s="24" t="n">
        <v>500</v>
      </c>
      <c r="K449" s="24" t="n">
        <v>800</v>
      </c>
      <c r="L449" s="25">
        <f>I449*K449</f>
        <v/>
      </c>
      <c r="M449" s="25">
        <f>I449*J449</f>
        <v/>
      </c>
      <c r="N449" s="25">
        <f>L449-M449</f>
        <v/>
      </c>
      <c r="O449" s="26">
        <f>IFERROR(N449/L449,0)</f>
        <v/>
      </c>
      <c r="P449">
        <f>YEAR(A449)</f>
        <v/>
      </c>
      <c r="Q449">
        <f>TEXT(A449,"mmm")</f>
        <v/>
      </c>
      <c r="R449">
        <f>IF(B449&lt;25,"18-24",IF(B449&lt;35,"25-34",IF(B449&lt;45,"35-44","45+")))</f>
        <v/>
      </c>
    </row>
    <row r="450">
      <c r="A450" s="23" t="n">
        <v>44501</v>
      </c>
      <c r="B450" s="3" t="n">
        <v>37</v>
      </c>
      <c r="C450" s="3" t="inlineStr">
        <is>
          <t>M</t>
        </is>
      </c>
      <c r="D450" s="3" t="inlineStr">
        <is>
          <t>United States</t>
        </is>
      </c>
      <c r="E450" s="3" t="inlineStr">
        <is>
          <t>California</t>
        </is>
      </c>
      <c r="F450" s="3" t="inlineStr">
        <is>
          <t>Road Bikes</t>
        </is>
      </c>
      <c r="G450" s="3" t="inlineStr">
        <is>
          <t>Red</t>
        </is>
      </c>
      <c r="H450" s="3" t="inlineStr">
        <is>
          <t>Road-650 Red, 48</t>
        </is>
      </c>
      <c r="I450" s="4" t="n">
        <v>1</v>
      </c>
      <c r="J450" s="24" t="n">
        <v>620</v>
      </c>
      <c r="K450" s="24" t="n">
        <v>980</v>
      </c>
      <c r="L450" s="25">
        <f>I450*K450</f>
        <v/>
      </c>
      <c r="M450" s="25">
        <f>I450*J450</f>
        <v/>
      </c>
      <c r="N450" s="25">
        <f>L450-M450</f>
        <v/>
      </c>
      <c r="O450" s="26">
        <f>IFERROR(N450/L450,0)</f>
        <v/>
      </c>
      <c r="P450">
        <f>YEAR(A450)</f>
        <v/>
      </c>
      <c r="Q450">
        <f>TEXT(A450,"mmm")</f>
        <v/>
      </c>
      <c r="R450">
        <f>IF(B450&lt;25,"18-24",IF(B450&lt;35,"25-34",IF(B450&lt;45,"35-44","45+")))</f>
        <v/>
      </c>
    </row>
    <row r="451">
      <c r="A451" s="23" t="n">
        <v>44524</v>
      </c>
      <c r="B451" s="3" t="n">
        <v>37</v>
      </c>
      <c r="C451" s="3" t="inlineStr">
        <is>
          <t>F</t>
        </is>
      </c>
      <c r="D451" s="3" t="inlineStr">
        <is>
          <t>United States</t>
        </is>
      </c>
      <c r="E451" s="3" t="inlineStr">
        <is>
          <t>Washington</t>
        </is>
      </c>
      <c r="F451" s="3" t="inlineStr">
        <is>
          <t>Road Bikes</t>
        </is>
      </c>
      <c r="G451" s="3" t="inlineStr">
        <is>
          <t>Yellow</t>
        </is>
      </c>
      <c r="H451" s="3" t="inlineStr">
        <is>
          <t>Road-350-W Yellow, 44</t>
        </is>
      </c>
      <c r="I451" s="4" t="n">
        <v>2</v>
      </c>
      <c r="J451" s="24" t="n">
        <v>530</v>
      </c>
      <c r="K451" s="24" t="n">
        <v>840</v>
      </c>
      <c r="L451" s="25">
        <f>I451*K451</f>
        <v/>
      </c>
      <c r="M451" s="25">
        <f>I451*J451</f>
        <v/>
      </c>
      <c r="N451" s="25">
        <f>L451-M451</f>
        <v/>
      </c>
      <c r="O451" s="26">
        <f>IFERROR(N451/L451,0)</f>
        <v/>
      </c>
      <c r="P451">
        <f>YEAR(A451)</f>
        <v/>
      </c>
      <c r="Q451">
        <f>TEXT(A451,"mmm")</f>
        <v/>
      </c>
      <c r="R451">
        <f>IF(B451&lt;25,"18-24",IF(B451&lt;35,"25-34",IF(B451&lt;45,"35-44","45+")))</f>
        <v/>
      </c>
    </row>
    <row r="452">
      <c r="A452" s="23" t="n">
        <v>44532</v>
      </c>
      <c r="B452" s="3" t="n">
        <v>37</v>
      </c>
      <c r="C452" s="3" t="inlineStr">
        <is>
          <t>M</t>
        </is>
      </c>
      <c r="D452" s="3" t="inlineStr">
        <is>
          <t>United States</t>
        </is>
      </c>
      <c r="E452" s="3" t="inlineStr">
        <is>
          <t>California</t>
        </is>
      </c>
      <c r="F452" s="3" t="inlineStr">
        <is>
          <t>Mountain Bikes</t>
        </is>
      </c>
      <c r="G452" s="3" t="inlineStr">
        <is>
          <t>Silver</t>
        </is>
      </c>
      <c r="H452" s="3" t="inlineStr">
        <is>
          <t>Mountain-400-W Silver, 46</t>
        </is>
      </c>
      <c r="I452" s="4" t="n">
        <v>2</v>
      </c>
      <c r="J452" s="24" t="n">
        <v>450</v>
      </c>
      <c r="K452" s="24" t="n">
        <v>720</v>
      </c>
      <c r="L452" s="25">
        <f>I452*K452</f>
        <v/>
      </c>
      <c r="M452" s="25">
        <f>I452*J452</f>
        <v/>
      </c>
      <c r="N452" s="25">
        <f>L452-M452</f>
        <v/>
      </c>
      <c r="O452" s="26">
        <f>IFERROR(N452/L452,0)</f>
        <v/>
      </c>
      <c r="P452">
        <f>YEAR(A452)</f>
        <v/>
      </c>
      <c r="Q452">
        <f>TEXT(A452,"mmm")</f>
        <v/>
      </c>
      <c r="R452">
        <f>IF(B452&lt;25,"18-24",IF(B452&lt;35,"25-34",IF(B452&lt;45,"35-44","45+")))</f>
        <v/>
      </c>
    </row>
    <row r="453">
      <c r="A453" s="23" t="n">
        <v>44533</v>
      </c>
      <c r="B453" s="3" t="n">
        <v>37</v>
      </c>
      <c r="C453" s="3" t="inlineStr">
        <is>
          <t>F</t>
        </is>
      </c>
      <c r="D453" s="3" t="inlineStr">
        <is>
          <t>United States</t>
        </is>
      </c>
      <c r="E453" s="3" t="inlineStr">
        <is>
          <t>California</t>
        </is>
      </c>
      <c r="F453" s="3" t="inlineStr">
        <is>
          <t>Mountain Bikes</t>
        </is>
      </c>
      <c r="G453" s="3" t="inlineStr">
        <is>
          <t>Black</t>
        </is>
      </c>
      <c r="H453" s="3" t="inlineStr">
        <is>
          <t>Mountain-200 Black, 46</t>
        </is>
      </c>
      <c r="I453" s="4" t="n">
        <v>2</v>
      </c>
      <c r="J453" s="24" t="n">
        <v>550</v>
      </c>
      <c r="K453" s="24" t="n">
        <v>850</v>
      </c>
      <c r="L453" s="25">
        <f>I453*K453</f>
        <v/>
      </c>
      <c r="M453" s="25">
        <f>I453*J453</f>
        <v/>
      </c>
      <c r="N453" s="25">
        <f>L453-M453</f>
        <v/>
      </c>
      <c r="O453" s="26">
        <f>IFERROR(N453/L453,0)</f>
        <v/>
      </c>
      <c r="P453">
        <f>YEAR(A453)</f>
        <v/>
      </c>
      <c r="Q453">
        <f>TEXT(A453,"mmm")</f>
        <v/>
      </c>
      <c r="R453">
        <f>IF(B453&lt;25,"18-24",IF(B453&lt;35,"25-34",IF(B453&lt;45,"35-44","45+")))</f>
        <v/>
      </c>
    </row>
    <row r="454">
      <c r="A454" s="23" t="n">
        <v>44533</v>
      </c>
      <c r="B454" s="3" t="n">
        <v>37</v>
      </c>
      <c r="C454" s="3" t="inlineStr">
        <is>
          <t>M</t>
        </is>
      </c>
      <c r="D454" s="3" t="inlineStr">
        <is>
          <t>United States</t>
        </is>
      </c>
      <c r="E454" s="3" t="inlineStr">
        <is>
          <t>Washington</t>
        </is>
      </c>
      <c r="F454" s="3" t="inlineStr">
        <is>
          <t>Mountain Bikes</t>
        </is>
      </c>
      <c r="G454" s="3" t="inlineStr">
        <is>
          <t>Black</t>
        </is>
      </c>
      <c r="H454" s="3" t="inlineStr">
        <is>
          <t>Mountain-200 Black, 46</t>
        </is>
      </c>
      <c r="I454" s="4" t="n">
        <v>1</v>
      </c>
      <c r="J454" s="24" t="n">
        <v>550</v>
      </c>
      <c r="K454" s="24" t="n">
        <v>850</v>
      </c>
      <c r="L454" s="25">
        <f>I454*K454</f>
        <v/>
      </c>
      <c r="M454" s="25">
        <f>I454*J454</f>
        <v/>
      </c>
      <c r="N454" s="25">
        <f>L454-M454</f>
        <v/>
      </c>
      <c r="O454" s="26">
        <f>IFERROR(N454/L454,0)</f>
        <v/>
      </c>
      <c r="P454">
        <f>YEAR(A454)</f>
        <v/>
      </c>
      <c r="Q454">
        <f>TEXT(A454,"mmm")</f>
        <v/>
      </c>
      <c r="R454">
        <f>IF(B454&lt;25,"18-24",IF(B454&lt;35,"25-34",IF(B454&lt;45,"35-44","45+")))</f>
        <v/>
      </c>
    </row>
    <row r="455">
      <c r="A455" s="23" t="n">
        <v>44535</v>
      </c>
      <c r="B455" s="3" t="n">
        <v>37</v>
      </c>
      <c r="C455" s="3" t="inlineStr">
        <is>
          <t>F</t>
        </is>
      </c>
      <c r="D455" s="3" t="inlineStr">
        <is>
          <t>United States</t>
        </is>
      </c>
      <c r="E455" s="3" t="inlineStr">
        <is>
          <t>California</t>
        </is>
      </c>
      <c r="F455" s="3" t="inlineStr">
        <is>
          <t>Mountain Bikes</t>
        </is>
      </c>
      <c r="G455" s="3" t="inlineStr">
        <is>
          <t>Black</t>
        </is>
      </c>
      <c r="H455" s="3" t="inlineStr">
        <is>
          <t>Mountain-200 Black, 46</t>
        </is>
      </c>
      <c r="I455" s="4" t="n">
        <v>1</v>
      </c>
      <c r="J455" s="24" t="n">
        <v>550</v>
      </c>
      <c r="K455" s="24" t="n">
        <v>850</v>
      </c>
      <c r="L455" s="25">
        <f>I455*K455</f>
        <v/>
      </c>
      <c r="M455" s="25">
        <f>I455*J455</f>
        <v/>
      </c>
      <c r="N455" s="25">
        <f>L455-M455</f>
        <v/>
      </c>
      <c r="O455" s="26">
        <f>IFERROR(N455/L455,0)</f>
        <v/>
      </c>
      <c r="P455">
        <f>YEAR(A455)</f>
        <v/>
      </c>
      <c r="Q455">
        <f>TEXT(A455,"mmm")</f>
        <v/>
      </c>
      <c r="R455">
        <f>IF(B455&lt;25,"18-24",IF(B455&lt;35,"25-34",IF(B455&lt;45,"35-44","45+")))</f>
        <v/>
      </c>
    </row>
    <row r="456">
      <c r="A456" s="23" t="n">
        <v>44537</v>
      </c>
      <c r="B456" s="3" t="n">
        <v>37</v>
      </c>
      <c r="C456" s="3" t="inlineStr">
        <is>
          <t>F</t>
        </is>
      </c>
      <c r="D456" s="3" t="inlineStr">
        <is>
          <t>Australia</t>
        </is>
      </c>
      <c r="E456" s="3" t="inlineStr">
        <is>
          <t>South Australia</t>
        </is>
      </c>
      <c r="F456" s="3" t="inlineStr">
        <is>
          <t>Road Bikes</t>
        </is>
      </c>
      <c r="G456" s="3" t="inlineStr">
        <is>
          <t>Yellow</t>
        </is>
      </c>
      <c r="H456" s="3" t="inlineStr">
        <is>
          <t>Road-350-W Yellow, 40</t>
        </is>
      </c>
      <c r="I456" s="4" t="n">
        <v>4</v>
      </c>
      <c r="J456" s="24" t="n">
        <v>530</v>
      </c>
      <c r="K456" s="24" t="n">
        <v>840</v>
      </c>
      <c r="L456" s="25">
        <f>I456*K456</f>
        <v/>
      </c>
      <c r="M456" s="25">
        <f>I456*J456</f>
        <v/>
      </c>
      <c r="N456" s="25">
        <f>L456-M456</f>
        <v/>
      </c>
      <c r="O456" s="26">
        <f>IFERROR(N456/L456,0)</f>
        <v/>
      </c>
      <c r="P456">
        <f>YEAR(A456)</f>
        <v/>
      </c>
      <c r="Q456">
        <f>TEXT(A456,"mmm")</f>
        <v/>
      </c>
      <c r="R456">
        <f>IF(B456&lt;25,"18-24",IF(B456&lt;35,"25-34",IF(B456&lt;45,"35-44","45+")))</f>
        <v/>
      </c>
    </row>
    <row r="457">
      <c r="A457" s="23" t="n">
        <v>44541</v>
      </c>
      <c r="B457" s="3" t="n">
        <v>37</v>
      </c>
      <c r="C457" s="3" t="inlineStr">
        <is>
          <t>M</t>
        </is>
      </c>
      <c r="D457" s="3" t="inlineStr">
        <is>
          <t>United States</t>
        </is>
      </c>
      <c r="E457" s="3" t="inlineStr">
        <is>
          <t>California</t>
        </is>
      </c>
      <c r="F457" s="3" t="inlineStr">
        <is>
          <t>Mountain Bikes</t>
        </is>
      </c>
      <c r="G457" s="3" t="inlineStr">
        <is>
          <t>Silver</t>
        </is>
      </c>
      <c r="H457" s="3" t="inlineStr">
        <is>
          <t>Mountain-400-W Silver, 46</t>
        </is>
      </c>
      <c r="I457" s="4" t="n">
        <v>1</v>
      </c>
      <c r="J457" s="24" t="n">
        <v>450</v>
      </c>
      <c r="K457" s="24" t="n">
        <v>720</v>
      </c>
      <c r="L457" s="25">
        <f>I457*K457</f>
        <v/>
      </c>
      <c r="M457" s="25">
        <f>I457*J457</f>
        <v/>
      </c>
      <c r="N457" s="25">
        <f>L457-M457</f>
        <v/>
      </c>
      <c r="O457" s="26">
        <f>IFERROR(N457/L457,0)</f>
        <v/>
      </c>
      <c r="P457">
        <f>YEAR(A457)</f>
        <v/>
      </c>
      <c r="Q457">
        <f>TEXT(A457,"mmm")</f>
        <v/>
      </c>
      <c r="R457">
        <f>IF(B457&lt;25,"18-24",IF(B457&lt;35,"25-34",IF(B457&lt;45,"35-44","45+")))</f>
        <v/>
      </c>
    </row>
    <row r="458">
      <c r="A458" s="23" t="n">
        <v>44542</v>
      </c>
      <c r="B458" s="3" t="n">
        <v>37</v>
      </c>
      <c r="C458" s="3" t="inlineStr">
        <is>
          <t>M</t>
        </is>
      </c>
      <c r="D458" s="3" t="inlineStr">
        <is>
          <t>United States</t>
        </is>
      </c>
      <c r="E458" s="3" t="inlineStr">
        <is>
          <t>California</t>
        </is>
      </c>
      <c r="F458" s="3" t="inlineStr">
        <is>
          <t>Mountain Bikes</t>
        </is>
      </c>
      <c r="G458" s="3" t="inlineStr">
        <is>
          <t>Silver</t>
        </is>
      </c>
      <c r="H458" s="3" t="inlineStr">
        <is>
          <t>Mountain-400-W Silver, 46</t>
        </is>
      </c>
      <c r="I458" s="4" t="n">
        <v>4</v>
      </c>
      <c r="J458" s="24" t="n">
        <v>450</v>
      </c>
      <c r="K458" s="24" t="n">
        <v>720</v>
      </c>
      <c r="L458" s="25">
        <f>I458*K458</f>
        <v/>
      </c>
      <c r="M458" s="25">
        <f>I458*J458</f>
        <v/>
      </c>
      <c r="N458" s="25">
        <f>L458-M458</f>
        <v/>
      </c>
      <c r="O458" s="26">
        <f>IFERROR(N458/L458,0)</f>
        <v/>
      </c>
      <c r="P458">
        <f>YEAR(A458)</f>
        <v/>
      </c>
      <c r="Q458">
        <f>TEXT(A458,"mmm")</f>
        <v/>
      </c>
      <c r="R458">
        <f>IF(B458&lt;25,"18-24",IF(B458&lt;35,"25-34",IF(B458&lt;45,"35-44","45+")))</f>
        <v/>
      </c>
    </row>
    <row r="459">
      <c r="A459" s="23" t="n">
        <v>44542</v>
      </c>
      <c r="B459" s="3" t="n">
        <v>37</v>
      </c>
      <c r="C459" s="3" t="inlineStr">
        <is>
          <t>M</t>
        </is>
      </c>
      <c r="D459" s="3" t="inlineStr">
        <is>
          <t>France</t>
        </is>
      </c>
      <c r="E459" s="3" t="inlineStr">
        <is>
          <t>Seine (Paris)</t>
        </is>
      </c>
      <c r="F459" s="3" t="inlineStr">
        <is>
          <t>Road Bikes</t>
        </is>
      </c>
      <c r="G459" s="3" t="inlineStr">
        <is>
          <t>Red</t>
        </is>
      </c>
      <c r="H459" s="3" t="inlineStr">
        <is>
          <t>Road-150 Red, 44</t>
        </is>
      </c>
      <c r="I459" s="4" t="n">
        <v>1</v>
      </c>
      <c r="J459" s="24" t="n">
        <v>900</v>
      </c>
      <c r="K459" s="24" t="n">
        <v>1400</v>
      </c>
      <c r="L459" s="25">
        <f>I459*K459</f>
        <v/>
      </c>
      <c r="M459" s="25">
        <f>I459*J459</f>
        <v/>
      </c>
      <c r="N459" s="25">
        <f>L459-M459</f>
        <v/>
      </c>
      <c r="O459" s="26">
        <f>IFERROR(N459/L459,0)</f>
        <v/>
      </c>
      <c r="P459">
        <f>YEAR(A459)</f>
        <v/>
      </c>
      <c r="Q459">
        <f>TEXT(A459,"mmm")</f>
        <v/>
      </c>
      <c r="R459">
        <f>IF(B459&lt;25,"18-24",IF(B459&lt;35,"25-34",IF(B459&lt;45,"35-44","45+")))</f>
        <v/>
      </c>
    </row>
    <row r="460">
      <c r="A460" s="23" t="n">
        <v>44543</v>
      </c>
      <c r="B460" s="3" t="n">
        <v>37</v>
      </c>
      <c r="C460" s="3" t="inlineStr">
        <is>
          <t>M</t>
        </is>
      </c>
      <c r="D460" s="3" t="inlineStr">
        <is>
          <t>Australia</t>
        </is>
      </c>
      <c r="E460" s="3" t="inlineStr">
        <is>
          <t>New South Wales</t>
        </is>
      </c>
      <c r="F460" s="3" t="inlineStr">
        <is>
          <t>Road Bikes</t>
        </is>
      </c>
      <c r="G460" s="3" t="inlineStr">
        <is>
          <t>Yellow</t>
        </is>
      </c>
      <c r="H460" s="3" t="inlineStr">
        <is>
          <t>Road-350-W Yellow, 42</t>
        </is>
      </c>
      <c r="I460" s="4" t="n">
        <v>1</v>
      </c>
      <c r="J460" s="24" t="n">
        <v>530</v>
      </c>
      <c r="K460" s="24" t="n">
        <v>840</v>
      </c>
      <c r="L460" s="25">
        <f>I460*K460</f>
        <v/>
      </c>
      <c r="M460" s="25">
        <f>I460*J460</f>
        <v/>
      </c>
      <c r="N460" s="25">
        <f>L460-M460</f>
        <v/>
      </c>
      <c r="O460" s="26">
        <f>IFERROR(N460/L460,0)</f>
        <v/>
      </c>
      <c r="P460">
        <f>YEAR(A460)</f>
        <v/>
      </c>
      <c r="Q460">
        <f>TEXT(A460,"mmm")</f>
        <v/>
      </c>
      <c r="R460">
        <f>IF(B460&lt;25,"18-24",IF(B460&lt;35,"25-34",IF(B460&lt;45,"35-44","45+")))</f>
        <v/>
      </c>
    </row>
    <row r="461">
      <c r="A461" s="23" t="n">
        <v>44544</v>
      </c>
      <c r="B461" s="3" t="n">
        <v>37</v>
      </c>
      <c r="C461" s="3" t="inlineStr">
        <is>
          <t>M</t>
        </is>
      </c>
      <c r="D461" s="3" t="inlineStr">
        <is>
          <t>Germany</t>
        </is>
      </c>
      <c r="E461" s="3" t="inlineStr">
        <is>
          <t>Saarland</t>
        </is>
      </c>
      <c r="F461" s="3" t="inlineStr">
        <is>
          <t>Road Bikes</t>
        </is>
      </c>
      <c r="G461" s="3" t="inlineStr">
        <is>
          <t>Yellow</t>
        </is>
      </c>
      <c r="H461" s="3" t="inlineStr">
        <is>
          <t>Road-550-W Yellow, 38</t>
        </is>
      </c>
      <c r="I461" s="4" t="n">
        <v>1</v>
      </c>
      <c r="J461" s="24" t="n">
        <v>500</v>
      </c>
      <c r="K461" s="24" t="n">
        <v>800</v>
      </c>
      <c r="L461" s="25">
        <f>I461*K461</f>
        <v/>
      </c>
      <c r="M461" s="25">
        <f>I461*J461</f>
        <v/>
      </c>
      <c r="N461" s="25">
        <f>L461-M461</f>
        <v/>
      </c>
      <c r="O461" s="26">
        <f>IFERROR(N461/L461,0)</f>
        <v/>
      </c>
      <c r="P461">
        <f>YEAR(A461)</f>
        <v/>
      </c>
      <c r="Q461">
        <f>TEXT(A461,"mmm")</f>
        <v/>
      </c>
      <c r="R461">
        <f>IF(B461&lt;25,"18-24",IF(B461&lt;35,"25-34",IF(B461&lt;45,"35-44","45+")))</f>
        <v/>
      </c>
    </row>
    <row r="462">
      <c r="A462" s="23" t="n">
        <v>44547</v>
      </c>
      <c r="B462" s="3" t="n">
        <v>37</v>
      </c>
      <c r="C462" s="3" t="inlineStr">
        <is>
          <t>F</t>
        </is>
      </c>
      <c r="D462" s="3" t="inlineStr">
        <is>
          <t>United States</t>
        </is>
      </c>
      <c r="E462" s="3" t="inlineStr">
        <is>
          <t>Washington</t>
        </is>
      </c>
      <c r="F462" s="3" t="inlineStr">
        <is>
          <t>Mountain Bikes</t>
        </is>
      </c>
      <c r="G462" s="3" t="inlineStr">
        <is>
          <t>Silver</t>
        </is>
      </c>
      <c r="H462" s="3" t="inlineStr">
        <is>
          <t>Mountain-200 Silver, 38</t>
        </is>
      </c>
      <c r="I462" s="4" t="n">
        <v>2</v>
      </c>
      <c r="J462" s="24" t="n">
        <v>550</v>
      </c>
      <c r="K462" s="24" t="n">
        <v>850</v>
      </c>
      <c r="L462" s="25">
        <f>I462*K462</f>
        <v/>
      </c>
      <c r="M462" s="25">
        <f>I462*J462</f>
        <v/>
      </c>
      <c r="N462" s="25">
        <f>L462-M462</f>
        <v/>
      </c>
      <c r="O462" s="26">
        <f>IFERROR(N462/L462,0)</f>
        <v/>
      </c>
      <c r="P462">
        <f>YEAR(A462)</f>
        <v/>
      </c>
      <c r="Q462">
        <f>TEXT(A462,"mmm")</f>
        <v/>
      </c>
      <c r="R462">
        <f>IF(B462&lt;25,"18-24",IF(B462&lt;35,"25-34",IF(B462&lt;45,"35-44","45+")))</f>
        <v/>
      </c>
    </row>
    <row r="463">
      <c r="A463" s="23" t="n">
        <v>44549</v>
      </c>
      <c r="B463" s="3" t="n">
        <v>37</v>
      </c>
      <c r="C463" s="3" t="inlineStr">
        <is>
          <t>M</t>
        </is>
      </c>
      <c r="D463" s="3" t="inlineStr">
        <is>
          <t>United States</t>
        </is>
      </c>
      <c r="E463" s="3" t="inlineStr">
        <is>
          <t>Oregon</t>
        </is>
      </c>
      <c r="F463" s="3" t="inlineStr">
        <is>
          <t>Mountain Bikes</t>
        </is>
      </c>
      <c r="G463" s="3" t="inlineStr">
        <is>
          <t>Black</t>
        </is>
      </c>
      <c r="H463" s="3" t="inlineStr">
        <is>
          <t>Mountain-200 Black, 38</t>
        </is>
      </c>
      <c r="I463" s="4" t="n">
        <v>4</v>
      </c>
      <c r="J463" s="24" t="n">
        <v>550</v>
      </c>
      <c r="K463" s="24" t="n">
        <v>850</v>
      </c>
      <c r="L463" s="25">
        <f>I463*K463</f>
        <v/>
      </c>
      <c r="M463" s="25">
        <f>I463*J463</f>
        <v/>
      </c>
      <c r="N463" s="25">
        <f>L463-M463</f>
        <v/>
      </c>
      <c r="O463" s="26">
        <f>IFERROR(N463/L463,0)</f>
        <v/>
      </c>
      <c r="P463">
        <f>YEAR(A463)</f>
        <v/>
      </c>
      <c r="Q463">
        <f>TEXT(A463,"mmm")</f>
        <v/>
      </c>
      <c r="R463">
        <f>IF(B463&lt;25,"18-24",IF(B463&lt;35,"25-34",IF(B463&lt;45,"35-44","45+")))</f>
        <v/>
      </c>
    </row>
    <row r="464">
      <c r="A464" s="23" t="n">
        <v>44553</v>
      </c>
      <c r="B464" s="3" t="n">
        <v>37</v>
      </c>
      <c r="C464" s="3" t="inlineStr">
        <is>
          <t>F</t>
        </is>
      </c>
      <c r="D464" s="3" t="inlineStr">
        <is>
          <t>France</t>
        </is>
      </c>
      <c r="E464" s="3" t="inlineStr">
        <is>
          <t>Seine Saint Denis</t>
        </is>
      </c>
      <c r="F464" s="3" t="inlineStr">
        <is>
          <t>Road Bikes</t>
        </is>
      </c>
      <c r="G464" s="3" t="inlineStr">
        <is>
          <t>Red</t>
        </is>
      </c>
      <c r="H464" s="3" t="inlineStr">
        <is>
          <t>Road-150 Red, 48</t>
        </is>
      </c>
      <c r="I464" s="4" t="n">
        <v>1</v>
      </c>
      <c r="J464" s="24" t="n">
        <v>900</v>
      </c>
      <c r="K464" s="24" t="n">
        <v>1400</v>
      </c>
      <c r="L464" s="25">
        <f>I464*K464</f>
        <v/>
      </c>
      <c r="M464" s="25">
        <f>I464*J464</f>
        <v/>
      </c>
      <c r="N464" s="25">
        <f>L464-M464</f>
        <v/>
      </c>
      <c r="O464" s="26">
        <f>IFERROR(N464/L464,0)</f>
        <v/>
      </c>
      <c r="P464">
        <f>YEAR(A464)</f>
        <v/>
      </c>
      <c r="Q464">
        <f>TEXT(A464,"mmm")</f>
        <v/>
      </c>
      <c r="R464">
        <f>IF(B464&lt;25,"18-24",IF(B464&lt;35,"25-34",IF(B464&lt;45,"35-44","45+")))</f>
        <v/>
      </c>
    </row>
    <row r="465">
      <c r="A465" s="23" t="n">
        <v>44554</v>
      </c>
      <c r="B465" s="3" t="n">
        <v>37</v>
      </c>
      <c r="C465" s="3" t="inlineStr">
        <is>
          <t>F</t>
        </is>
      </c>
      <c r="D465" s="3" t="inlineStr">
        <is>
          <t>Australia</t>
        </is>
      </c>
      <c r="E465" s="3" t="inlineStr">
        <is>
          <t>Victoria</t>
        </is>
      </c>
      <c r="F465" s="3" t="inlineStr">
        <is>
          <t>Mountain Bikes</t>
        </is>
      </c>
      <c r="G465" s="3" t="inlineStr">
        <is>
          <t>Silver</t>
        </is>
      </c>
      <c r="H465" s="3" t="inlineStr">
        <is>
          <t>Mountain-200 Silver, 38</t>
        </is>
      </c>
      <c r="I465" s="4" t="n">
        <v>1</v>
      </c>
      <c r="J465" s="24" t="n">
        <v>550</v>
      </c>
      <c r="K465" s="24" t="n">
        <v>850</v>
      </c>
      <c r="L465" s="25">
        <f>I465*K465</f>
        <v/>
      </c>
      <c r="M465" s="25">
        <f>I465*J465</f>
        <v/>
      </c>
      <c r="N465" s="25">
        <f>L465-M465</f>
        <v/>
      </c>
      <c r="O465" s="26">
        <f>IFERROR(N465/L465,0)</f>
        <v/>
      </c>
      <c r="P465">
        <f>YEAR(A465)</f>
        <v/>
      </c>
      <c r="Q465">
        <f>TEXT(A465,"mmm")</f>
        <v/>
      </c>
      <c r="R465">
        <f>IF(B465&lt;25,"18-24",IF(B465&lt;35,"25-34",IF(B465&lt;45,"35-44","45+")))</f>
        <v/>
      </c>
    </row>
    <row r="466">
      <c r="A466" s="23" t="n">
        <v>44555</v>
      </c>
      <c r="B466" s="3" t="n">
        <v>37</v>
      </c>
      <c r="C466" s="3" t="inlineStr">
        <is>
          <t>F</t>
        </is>
      </c>
      <c r="D466" s="3" t="inlineStr">
        <is>
          <t>Germany</t>
        </is>
      </c>
      <c r="E466" s="3" t="inlineStr">
        <is>
          <t>Nordrhein-Westfalen</t>
        </is>
      </c>
      <c r="F466" s="3" t="inlineStr">
        <is>
          <t>Mountain Bikes</t>
        </is>
      </c>
      <c r="G466" s="3" t="inlineStr">
        <is>
          <t>Silver</t>
        </is>
      </c>
      <c r="H466" s="3" t="inlineStr">
        <is>
          <t>Mountain-200 Silver, 38</t>
        </is>
      </c>
      <c r="I466" s="4" t="n">
        <v>3</v>
      </c>
      <c r="J466" s="24" t="n">
        <v>550</v>
      </c>
      <c r="K466" s="24" t="n">
        <v>850</v>
      </c>
      <c r="L466" s="25">
        <f>I466*K466</f>
        <v/>
      </c>
      <c r="M466" s="25">
        <f>I466*J466</f>
        <v/>
      </c>
      <c r="N466" s="25">
        <f>L466-M466</f>
        <v/>
      </c>
      <c r="O466" s="26">
        <f>IFERROR(N466/L466,0)</f>
        <v/>
      </c>
      <c r="P466">
        <f>YEAR(A466)</f>
        <v/>
      </c>
      <c r="Q466">
        <f>TEXT(A466,"mmm")</f>
        <v/>
      </c>
      <c r="R466">
        <f>IF(B466&lt;25,"18-24",IF(B466&lt;35,"25-34",IF(B466&lt;45,"35-44","45+")))</f>
        <v/>
      </c>
    </row>
    <row r="467">
      <c r="A467" s="23" t="n">
        <v>44557</v>
      </c>
      <c r="B467" s="3" t="n">
        <v>37</v>
      </c>
      <c r="C467" s="3" t="inlineStr">
        <is>
          <t>M</t>
        </is>
      </c>
      <c r="D467" s="3" t="inlineStr">
        <is>
          <t>Canada</t>
        </is>
      </c>
      <c r="E467" s="3" t="inlineStr">
        <is>
          <t>British Columbia</t>
        </is>
      </c>
      <c r="F467" s="3" t="inlineStr">
        <is>
          <t>Road Bikes</t>
        </is>
      </c>
      <c r="G467" s="3" t="inlineStr">
        <is>
          <t>Black</t>
        </is>
      </c>
      <c r="H467" s="3" t="inlineStr">
        <is>
          <t>Road-750 Black, 44</t>
        </is>
      </c>
      <c r="I467" s="4" t="n">
        <v>2</v>
      </c>
      <c r="J467" s="24" t="n">
        <v>700</v>
      </c>
      <c r="K467" s="24" t="n">
        <v>1100</v>
      </c>
      <c r="L467" s="25">
        <f>I467*K467</f>
        <v/>
      </c>
      <c r="M467" s="25">
        <f>I467*J467</f>
        <v/>
      </c>
      <c r="N467" s="25">
        <f>L467-M467</f>
        <v/>
      </c>
      <c r="O467" s="26">
        <f>IFERROR(N467/L467,0)</f>
        <v/>
      </c>
      <c r="P467">
        <f>YEAR(A467)</f>
        <v/>
      </c>
      <c r="Q467">
        <f>TEXT(A467,"mmm")</f>
        <v/>
      </c>
      <c r="R467">
        <f>IF(B467&lt;25,"18-24",IF(B467&lt;35,"25-34",IF(B467&lt;45,"35-44","45+")))</f>
        <v/>
      </c>
    </row>
    <row r="468">
      <c r="A468" s="23" t="n">
        <v>44471</v>
      </c>
      <c r="B468" s="3" t="n">
        <v>38</v>
      </c>
      <c r="C468" s="3" t="inlineStr">
        <is>
          <t>F</t>
        </is>
      </c>
      <c r="D468" s="3" t="inlineStr">
        <is>
          <t>United Kingdom</t>
        </is>
      </c>
      <c r="E468" s="3" t="inlineStr">
        <is>
          <t>England</t>
        </is>
      </c>
      <c r="F468" s="3" t="inlineStr">
        <is>
          <t>Road Bikes</t>
        </is>
      </c>
      <c r="G468" s="3" t="inlineStr">
        <is>
          <t>Red</t>
        </is>
      </c>
      <c r="H468" s="3" t="inlineStr">
        <is>
          <t>Road-250 Red, 44</t>
        </is>
      </c>
      <c r="I468" s="4" t="n">
        <v>1</v>
      </c>
      <c r="J468" s="24" t="n">
        <v>580</v>
      </c>
      <c r="K468" s="24" t="n">
        <v>920</v>
      </c>
      <c r="L468" s="25">
        <f>I468*K468</f>
        <v/>
      </c>
      <c r="M468" s="25">
        <f>I468*J468</f>
        <v/>
      </c>
      <c r="N468" s="25">
        <f>L468-M468</f>
        <v/>
      </c>
      <c r="O468" s="26">
        <f>IFERROR(N468/L468,0)</f>
        <v/>
      </c>
      <c r="P468">
        <f>YEAR(A468)</f>
        <v/>
      </c>
      <c r="Q468">
        <f>TEXT(A468,"mmm")</f>
        <v/>
      </c>
      <c r="R468">
        <f>IF(B468&lt;25,"18-24",IF(B468&lt;35,"25-34",IF(B468&lt;45,"35-44","45+")))</f>
        <v/>
      </c>
    </row>
    <row r="469">
      <c r="A469" s="23" t="n">
        <v>44472</v>
      </c>
      <c r="B469" s="3" t="n">
        <v>38</v>
      </c>
      <c r="C469" s="3" t="inlineStr">
        <is>
          <t>F</t>
        </is>
      </c>
      <c r="D469" s="3" t="inlineStr">
        <is>
          <t>Australia</t>
        </is>
      </c>
      <c r="E469" s="3" t="inlineStr">
        <is>
          <t>Victoria</t>
        </is>
      </c>
      <c r="F469" s="3" t="inlineStr">
        <is>
          <t>Road Bikes</t>
        </is>
      </c>
      <c r="G469" s="3" t="inlineStr">
        <is>
          <t>Red</t>
        </is>
      </c>
      <c r="H469" s="3" t="inlineStr">
        <is>
          <t>Road-250 Red, 58</t>
        </is>
      </c>
      <c r="I469" s="4" t="n">
        <v>1</v>
      </c>
      <c r="J469" s="24" t="n">
        <v>580</v>
      </c>
      <c r="K469" s="24" t="n">
        <v>920</v>
      </c>
      <c r="L469" s="25">
        <f>I469*K469</f>
        <v/>
      </c>
      <c r="M469" s="25">
        <f>I469*J469</f>
        <v/>
      </c>
      <c r="N469" s="25">
        <f>L469-M469</f>
        <v/>
      </c>
      <c r="O469" s="26">
        <f>IFERROR(N469/L469,0)</f>
        <v/>
      </c>
      <c r="P469">
        <f>YEAR(A469)</f>
        <v/>
      </c>
      <c r="Q469">
        <f>TEXT(A469,"mmm")</f>
        <v/>
      </c>
      <c r="R469">
        <f>IF(B469&lt;25,"18-24",IF(B469&lt;35,"25-34",IF(B469&lt;45,"35-44","45+")))</f>
        <v/>
      </c>
    </row>
    <row r="470">
      <c r="A470" s="23" t="n">
        <v>44473</v>
      </c>
      <c r="B470" s="3" t="n">
        <v>38</v>
      </c>
      <c r="C470" s="3" t="inlineStr">
        <is>
          <t>M</t>
        </is>
      </c>
      <c r="D470" s="3" t="inlineStr">
        <is>
          <t>United Kingdom</t>
        </is>
      </c>
      <c r="E470" s="3" t="inlineStr">
        <is>
          <t>England</t>
        </is>
      </c>
      <c r="F470" s="3" t="inlineStr">
        <is>
          <t>Mountain Bikes</t>
        </is>
      </c>
      <c r="G470" s="3" t="inlineStr">
        <is>
          <t>Silver</t>
        </is>
      </c>
      <c r="H470" s="3" t="inlineStr">
        <is>
          <t>Mountain-200 Silver, 42</t>
        </is>
      </c>
      <c r="I470" s="4" t="n">
        <v>1</v>
      </c>
      <c r="J470" s="24" t="n">
        <v>550</v>
      </c>
      <c r="K470" s="24" t="n">
        <v>850</v>
      </c>
      <c r="L470" s="25">
        <f>I470*K470</f>
        <v/>
      </c>
      <c r="M470" s="25">
        <f>I470*J470</f>
        <v/>
      </c>
      <c r="N470" s="25">
        <f>L470-M470</f>
        <v/>
      </c>
      <c r="O470" s="26">
        <f>IFERROR(N470/L470,0)</f>
        <v/>
      </c>
      <c r="P470">
        <f>YEAR(A470)</f>
        <v/>
      </c>
      <c r="Q470">
        <f>TEXT(A470,"mmm")</f>
        <v/>
      </c>
      <c r="R470">
        <f>IF(B470&lt;25,"18-24",IF(B470&lt;35,"25-34",IF(B470&lt;45,"35-44","45+")))</f>
        <v/>
      </c>
    </row>
    <row r="471">
      <c r="A471" s="23" t="n">
        <v>44473</v>
      </c>
      <c r="B471" s="3" t="n">
        <v>38</v>
      </c>
      <c r="C471" s="3" t="inlineStr">
        <is>
          <t>M</t>
        </is>
      </c>
      <c r="D471" s="3" t="inlineStr">
        <is>
          <t>United Kingdom</t>
        </is>
      </c>
      <c r="E471" s="3" t="inlineStr">
        <is>
          <t>England</t>
        </is>
      </c>
      <c r="F471" s="3" t="inlineStr">
        <is>
          <t>Road Bikes</t>
        </is>
      </c>
      <c r="G471" s="3" t="inlineStr">
        <is>
          <t>Black</t>
        </is>
      </c>
      <c r="H471" s="3" t="inlineStr">
        <is>
          <t>Road-250 Black, 52</t>
        </is>
      </c>
      <c r="I471" s="4" t="n">
        <v>1</v>
      </c>
      <c r="J471" s="24" t="n">
        <v>580</v>
      </c>
      <c r="K471" s="24" t="n">
        <v>920</v>
      </c>
      <c r="L471" s="25">
        <f>I471*K471</f>
        <v/>
      </c>
      <c r="M471" s="25">
        <f>I471*J471</f>
        <v/>
      </c>
      <c r="N471" s="25">
        <f>L471-M471</f>
        <v/>
      </c>
      <c r="O471" s="26">
        <f>IFERROR(N471/L471,0)</f>
        <v/>
      </c>
      <c r="P471">
        <f>YEAR(A471)</f>
        <v/>
      </c>
      <c r="Q471">
        <f>TEXT(A471,"mmm")</f>
        <v/>
      </c>
      <c r="R471">
        <f>IF(B471&lt;25,"18-24",IF(B471&lt;35,"25-34",IF(B471&lt;45,"35-44","45+")))</f>
        <v/>
      </c>
    </row>
    <row r="472">
      <c r="A472" s="23" t="n">
        <v>44479</v>
      </c>
      <c r="B472" s="3" t="n">
        <v>38</v>
      </c>
      <c r="C472" s="3" t="inlineStr">
        <is>
          <t>M</t>
        </is>
      </c>
      <c r="D472" s="3" t="inlineStr">
        <is>
          <t>United Kingdom</t>
        </is>
      </c>
      <c r="E472" s="3" t="inlineStr">
        <is>
          <t>England</t>
        </is>
      </c>
      <c r="F472" s="3" t="inlineStr">
        <is>
          <t>Road Bikes</t>
        </is>
      </c>
      <c r="G472" s="3" t="inlineStr">
        <is>
          <t>Black</t>
        </is>
      </c>
      <c r="H472" s="3" t="inlineStr">
        <is>
          <t>Road-250 Black, 52</t>
        </is>
      </c>
      <c r="I472" s="4" t="n">
        <v>3</v>
      </c>
      <c r="J472" s="24" t="n">
        <v>580</v>
      </c>
      <c r="K472" s="24" t="n">
        <v>920</v>
      </c>
      <c r="L472" s="25">
        <f>I472*K472</f>
        <v/>
      </c>
      <c r="M472" s="25">
        <f>I472*J472</f>
        <v/>
      </c>
      <c r="N472" s="25">
        <f>L472-M472</f>
        <v/>
      </c>
      <c r="O472" s="26">
        <f>IFERROR(N472/L472,0)</f>
        <v/>
      </c>
      <c r="P472">
        <f>YEAR(A472)</f>
        <v/>
      </c>
      <c r="Q472">
        <f>TEXT(A472,"mmm")</f>
        <v/>
      </c>
      <c r="R472">
        <f>IF(B472&lt;25,"18-24",IF(B472&lt;35,"25-34",IF(B472&lt;45,"35-44","45+")))</f>
        <v/>
      </c>
    </row>
    <row r="473">
      <c r="A473" s="23" t="n">
        <v>44482</v>
      </c>
      <c r="B473" s="3" t="n">
        <v>38</v>
      </c>
      <c r="C473" s="3" t="inlineStr">
        <is>
          <t>M</t>
        </is>
      </c>
      <c r="D473" s="3" t="inlineStr">
        <is>
          <t>United Kingdom</t>
        </is>
      </c>
      <c r="E473" s="3" t="inlineStr">
        <is>
          <t>England</t>
        </is>
      </c>
      <c r="F473" s="3" t="inlineStr">
        <is>
          <t>Mountain Bikes</t>
        </is>
      </c>
      <c r="G473" s="3" t="inlineStr">
        <is>
          <t>Silver</t>
        </is>
      </c>
      <c r="H473" s="3" t="inlineStr">
        <is>
          <t>Mountain-200 Silver, 42</t>
        </is>
      </c>
      <c r="I473" s="4" t="n">
        <v>1</v>
      </c>
      <c r="J473" s="24" t="n">
        <v>550</v>
      </c>
      <c r="K473" s="24" t="n">
        <v>850</v>
      </c>
      <c r="L473" s="25">
        <f>I473*K473</f>
        <v/>
      </c>
      <c r="M473" s="25">
        <f>I473*J473</f>
        <v/>
      </c>
      <c r="N473" s="25">
        <f>L473-M473</f>
        <v/>
      </c>
      <c r="O473" s="26">
        <f>IFERROR(N473/L473,0)</f>
        <v/>
      </c>
      <c r="P473">
        <f>YEAR(A473)</f>
        <v/>
      </c>
      <c r="Q473">
        <f>TEXT(A473,"mmm")</f>
        <v/>
      </c>
      <c r="R473">
        <f>IF(B473&lt;25,"18-24",IF(B473&lt;35,"25-34",IF(B473&lt;45,"35-44","45+")))</f>
        <v/>
      </c>
    </row>
    <row r="474">
      <c r="A474" s="23" t="n">
        <v>44485</v>
      </c>
      <c r="B474" s="3" t="n">
        <v>38</v>
      </c>
      <c r="C474" s="3" t="inlineStr">
        <is>
          <t>F</t>
        </is>
      </c>
      <c r="D474" s="3" t="inlineStr">
        <is>
          <t>United Kingdom</t>
        </is>
      </c>
      <c r="E474" s="3" t="inlineStr">
        <is>
          <t>England</t>
        </is>
      </c>
      <c r="F474" s="3" t="inlineStr">
        <is>
          <t>Road Bikes</t>
        </is>
      </c>
      <c r="G474" s="3" t="inlineStr">
        <is>
          <t>Red</t>
        </is>
      </c>
      <c r="H474" s="3" t="inlineStr">
        <is>
          <t>Road-250 Red, 44</t>
        </is>
      </c>
      <c r="I474" s="4" t="n">
        <v>1</v>
      </c>
      <c r="J474" s="24" t="n">
        <v>580</v>
      </c>
      <c r="K474" s="24" t="n">
        <v>920</v>
      </c>
      <c r="L474" s="25">
        <f>I474*K474</f>
        <v/>
      </c>
      <c r="M474" s="25">
        <f>I474*J474</f>
        <v/>
      </c>
      <c r="N474" s="25">
        <f>L474-M474</f>
        <v/>
      </c>
      <c r="O474" s="26">
        <f>IFERROR(N474/L474,0)</f>
        <v/>
      </c>
      <c r="P474">
        <f>YEAR(A474)</f>
        <v/>
      </c>
      <c r="Q474">
        <f>TEXT(A474,"mmm")</f>
        <v/>
      </c>
      <c r="R474">
        <f>IF(B474&lt;25,"18-24",IF(B474&lt;35,"25-34",IF(B474&lt;45,"35-44","45+")))</f>
        <v/>
      </c>
    </row>
    <row r="475">
      <c r="A475" s="23" t="n">
        <v>44490</v>
      </c>
      <c r="B475" s="3" t="n">
        <v>38</v>
      </c>
      <c r="C475" s="3" t="inlineStr">
        <is>
          <t>F</t>
        </is>
      </c>
      <c r="D475" s="3" t="inlineStr">
        <is>
          <t>United Kingdom</t>
        </is>
      </c>
      <c r="E475" s="3" t="inlineStr">
        <is>
          <t>England</t>
        </is>
      </c>
      <c r="F475" s="3" t="inlineStr">
        <is>
          <t>Road Bikes</t>
        </is>
      </c>
      <c r="G475" s="3" t="inlineStr">
        <is>
          <t>Red</t>
        </is>
      </c>
      <c r="H475" s="3" t="inlineStr">
        <is>
          <t>Road-150 Red, 56</t>
        </is>
      </c>
      <c r="I475" s="4" t="n">
        <v>1</v>
      </c>
      <c r="J475" s="24" t="n">
        <v>900</v>
      </c>
      <c r="K475" s="24" t="n">
        <v>1400</v>
      </c>
      <c r="L475" s="25">
        <f>I475*K475</f>
        <v/>
      </c>
      <c r="M475" s="25">
        <f>I475*J475</f>
        <v/>
      </c>
      <c r="N475" s="25">
        <f>L475-M475</f>
        <v/>
      </c>
      <c r="O475" s="26">
        <f>IFERROR(N475/L475,0)</f>
        <v/>
      </c>
      <c r="P475">
        <f>YEAR(A475)</f>
        <v/>
      </c>
      <c r="Q475">
        <f>TEXT(A475,"mmm")</f>
        <v/>
      </c>
      <c r="R475">
        <f>IF(B475&lt;25,"18-24",IF(B475&lt;35,"25-34",IF(B475&lt;45,"35-44","45+")))</f>
        <v/>
      </c>
    </row>
    <row r="476">
      <c r="A476" s="23" t="n">
        <v>44520</v>
      </c>
      <c r="B476" s="3" t="n">
        <v>38</v>
      </c>
      <c r="C476" s="3" t="inlineStr">
        <is>
          <t>F</t>
        </is>
      </c>
      <c r="D476" s="3" t="inlineStr">
        <is>
          <t>Australia</t>
        </is>
      </c>
      <c r="E476" s="3" t="inlineStr">
        <is>
          <t>Queensland</t>
        </is>
      </c>
      <c r="F476" s="3" t="inlineStr">
        <is>
          <t>Mountain Bikes</t>
        </is>
      </c>
      <c r="G476" s="3" t="inlineStr">
        <is>
          <t>Black</t>
        </is>
      </c>
      <c r="H476" s="3" t="inlineStr">
        <is>
          <t>Mountain-200 Black, 38</t>
        </is>
      </c>
      <c r="I476" s="4" t="n">
        <v>2</v>
      </c>
      <c r="J476" s="24" t="n">
        <v>550</v>
      </c>
      <c r="K476" s="24" t="n">
        <v>850</v>
      </c>
      <c r="L476" s="25">
        <f>I476*K476</f>
        <v/>
      </c>
      <c r="M476" s="25">
        <f>I476*J476</f>
        <v/>
      </c>
      <c r="N476" s="25">
        <f>L476-M476</f>
        <v/>
      </c>
      <c r="O476" s="26">
        <f>IFERROR(N476/L476,0)</f>
        <v/>
      </c>
      <c r="P476">
        <f>YEAR(A476)</f>
        <v/>
      </c>
      <c r="Q476">
        <f>TEXT(A476,"mmm")</f>
        <v/>
      </c>
      <c r="R476">
        <f>IF(B476&lt;25,"18-24",IF(B476&lt;35,"25-34",IF(B476&lt;45,"35-44","45+")))</f>
        <v/>
      </c>
    </row>
    <row r="477">
      <c r="A477" s="23" t="n">
        <v>44527</v>
      </c>
      <c r="B477" s="3" t="n">
        <v>38</v>
      </c>
      <c r="C477" s="3" t="inlineStr">
        <is>
          <t>M</t>
        </is>
      </c>
      <c r="D477" s="3" t="inlineStr">
        <is>
          <t>France</t>
        </is>
      </c>
      <c r="E477" s="3" t="inlineStr">
        <is>
          <t>Seine (Paris)</t>
        </is>
      </c>
      <c r="F477" s="3" t="inlineStr">
        <is>
          <t>Road Bikes</t>
        </is>
      </c>
      <c r="G477" s="3" t="inlineStr">
        <is>
          <t>Yellow</t>
        </is>
      </c>
      <c r="H477" s="3" t="inlineStr">
        <is>
          <t>Road-350-W Yellow, 42</t>
        </is>
      </c>
      <c r="I477" s="4" t="n">
        <v>1</v>
      </c>
      <c r="J477" s="24" t="n">
        <v>530</v>
      </c>
      <c r="K477" s="24" t="n">
        <v>840</v>
      </c>
      <c r="L477" s="25">
        <f>I477*K477</f>
        <v/>
      </c>
      <c r="M477" s="25">
        <f>I477*J477</f>
        <v/>
      </c>
      <c r="N477" s="25">
        <f>L477-M477</f>
        <v/>
      </c>
      <c r="O477" s="26">
        <f>IFERROR(N477/L477,0)</f>
        <v/>
      </c>
      <c r="P477">
        <f>YEAR(A477)</f>
        <v/>
      </c>
      <c r="Q477">
        <f>TEXT(A477,"mmm")</f>
        <v/>
      </c>
      <c r="R477">
        <f>IF(B477&lt;25,"18-24",IF(B477&lt;35,"25-34",IF(B477&lt;45,"35-44","45+")))</f>
        <v/>
      </c>
    </row>
    <row r="478">
      <c r="A478" s="23" t="n">
        <v>44537</v>
      </c>
      <c r="B478" s="3" t="n">
        <v>38</v>
      </c>
      <c r="C478" s="3" t="inlineStr">
        <is>
          <t>M</t>
        </is>
      </c>
      <c r="D478" s="3" t="inlineStr">
        <is>
          <t>United States</t>
        </is>
      </c>
      <c r="E478" s="3" t="inlineStr">
        <is>
          <t>California</t>
        </is>
      </c>
      <c r="F478" s="3" t="inlineStr">
        <is>
          <t>Mountain Bikes</t>
        </is>
      </c>
      <c r="G478" s="3" t="inlineStr">
        <is>
          <t>Silver</t>
        </is>
      </c>
      <c r="H478" s="3" t="inlineStr">
        <is>
          <t>Mountain-200 Silver, 42</t>
        </is>
      </c>
      <c r="I478" s="4" t="n">
        <v>2</v>
      </c>
      <c r="J478" s="24" t="n">
        <v>550</v>
      </c>
      <c r="K478" s="24" t="n">
        <v>850</v>
      </c>
      <c r="L478" s="25">
        <f>I478*K478</f>
        <v/>
      </c>
      <c r="M478" s="25">
        <f>I478*J478</f>
        <v/>
      </c>
      <c r="N478" s="25">
        <f>L478-M478</f>
        <v/>
      </c>
      <c r="O478" s="26">
        <f>IFERROR(N478/L478,0)</f>
        <v/>
      </c>
      <c r="P478">
        <f>YEAR(A478)</f>
        <v/>
      </c>
      <c r="Q478">
        <f>TEXT(A478,"mmm")</f>
        <v/>
      </c>
      <c r="R478">
        <f>IF(B478&lt;25,"18-24",IF(B478&lt;35,"25-34",IF(B478&lt;45,"35-44","45+")))</f>
        <v/>
      </c>
    </row>
    <row r="479">
      <c r="A479" s="23" t="n">
        <v>44540</v>
      </c>
      <c r="B479" s="3" t="n">
        <v>38</v>
      </c>
      <c r="C479" s="3" t="inlineStr">
        <is>
          <t>M</t>
        </is>
      </c>
      <c r="D479" s="3" t="inlineStr">
        <is>
          <t>Australia</t>
        </is>
      </c>
      <c r="E479" s="3" t="inlineStr">
        <is>
          <t>New South Wales</t>
        </is>
      </c>
      <c r="F479" s="3" t="inlineStr">
        <is>
          <t>Mountain Bikes</t>
        </is>
      </c>
      <c r="G479" s="3" t="inlineStr">
        <is>
          <t>Black</t>
        </is>
      </c>
      <c r="H479" s="3" t="inlineStr">
        <is>
          <t>Mountain-200 Black, 38</t>
        </is>
      </c>
      <c r="I479" s="4" t="n">
        <v>1</v>
      </c>
      <c r="J479" s="24" t="n">
        <v>550</v>
      </c>
      <c r="K479" s="24" t="n">
        <v>850</v>
      </c>
      <c r="L479" s="25">
        <f>I479*K479</f>
        <v/>
      </c>
      <c r="M479" s="25">
        <f>I479*J479</f>
        <v/>
      </c>
      <c r="N479" s="25">
        <f>L479-M479</f>
        <v/>
      </c>
      <c r="O479" s="26">
        <f>IFERROR(N479/L479,0)</f>
        <v/>
      </c>
      <c r="P479">
        <f>YEAR(A479)</f>
        <v/>
      </c>
      <c r="Q479">
        <f>TEXT(A479,"mmm")</f>
        <v/>
      </c>
      <c r="R479">
        <f>IF(B479&lt;25,"18-24",IF(B479&lt;35,"25-34",IF(B479&lt;45,"35-44","45+")))</f>
        <v/>
      </c>
    </row>
    <row r="480">
      <c r="A480" s="23" t="n">
        <v>44541</v>
      </c>
      <c r="B480" s="3" t="n">
        <v>38</v>
      </c>
      <c r="C480" s="3" t="inlineStr">
        <is>
          <t>F</t>
        </is>
      </c>
      <c r="D480" s="3" t="inlineStr">
        <is>
          <t>United States</t>
        </is>
      </c>
      <c r="E480" s="3" t="inlineStr">
        <is>
          <t>California</t>
        </is>
      </c>
      <c r="F480" s="3" t="inlineStr">
        <is>
          <t>Mountain Bikes</t>
        </is>
      </c>
      <c r="G480" s="3" t="inlineStr">
        <is>
          <t>Silver</t>
        </is>
      </c>
      <c r="H480" s="3" t="inlineStr">
        <is>
          <t>Mountain-200 Silver, 38</t>
        </is>
      </c>
      <c r="I480" s="4" t="n">
        <v>1</v>
      </c>
      <c r="J480" s="24" t="n">
        <v>550</v>
      </c>
      <c r="K480" s="24" t="n">
        <v>850</v>
      </c>
      <c r="L480" s="25">
        <f>I480*K480</f>
        <v/>
      </c>
      <c r="M480" s="25">
        <f>I480*J480</f>
        <v/>
      </c>
      <c r="N480" s="25">
        <f>L480-M480</f>
        <v/>
      </c>
      <c r="O480" s="26">
        <f>IFERROR(N480/L480,0)</f>
        <v/>
      </c>
      <c r="P480">
        <f>YEAR(A480)</f>
        <v/>
      </c>
      <c r="Q480">
        <f>TEXT(A480,"mmm")</f>
        <v/>
      </c>
      <c r="R480">
        <f>IF(B480&lt;25,"18-24",IF(B480&lt;35,"25-34",IF(B480&lt;45,"35-44","45+")))</f>
        <v/>
      </c>
    </row>
    <row r="481">
      <c r="A481" s="23" t="n">
        <v>44542</v>
      </c>
      <c r="B481" s="3" t="n">
        <v>38</v>
      </c>
      <c r="C481" s="3" t="inlineStr">
        <is>
          <t>F</t>
        </is>
      </c>
      <c r="D481" s="3" t="inlineStr">
        <is>
          <t>United States</t>
        </is>
      </c>
      <c r="E481" s="3" t="inlineStr">
        <is>
          <t>Washington</t>
        </is>
      </c>
      <c r="F481" s="3" t="inlineStr">
        <is>
          <t>Mountain Bikes</t>
        </is>
      </c>
      <c r="G481" s="3" t="inlineStr">
        <is>
          <t>Silver</t>
        </is>
      </c>
      <c r="H481" s="3" t="inlineStr">
        <is>
          <t>Mountain-200 Silver, 42</t>
        </is>
      </c>
      <c r="I481" s="4" t="n">
        <v>1</v>
      </c>
      <c r="J481" s="24" t="n">
        <v>550</v>
      </c>
      <c r="K481" s="24" t="n">
        <v>850</v>
      </c>
      <c r="L481" s="25">
        <f>I481*K481</f>
        <v/>
      </c>
      <c r="M481" s="25">
        <f>I481*J481</f>
        <v/>
      </c>
      <c r="N481" s="25">
        <f>L481-M481</f>
        <v/>
      </c>
      <c r="O481" s="26">
        <f>IFERROR(N481/L481,0)</f>
        <v/>
      </c>
      <c r="P481">
        <f>YEAR(A481)</f>
        <v/>
      </c>
      <c r="Q481">
        <f>TEXT(A481,"mmm")</f>
        <v/>
      </c>
      <c r="R481">
        <f>IF(B481&lt;25,"18-24",IF(B481&lt;35,"25-34",IF(B481&lt;45,"35-44","45+")))</f>
        <v/>
      </c>
    </row>
    <row r="482">
      <c r="A482" s="23" t="n">
        <v>44546</v>
      </c>
      <c r="B482" s="3" t="n">
        <v>38</v>
      </c>
      <c r="C482" s="3" t="inlineStr">
        <is>
          <t>M</t>
        </is>
      </c>
      <c r="D482" s="3" t="inlineStr">
        <is>
          <t>Australia</t>
        </is>
      </c>
      <c r="E482" s="3" t="inlineStr">
        <is>
          <t>New South Wales</t>
        </is>
      </c>
      <c r="F482" s="3" t="inlineStr">
        <is>
          <t>Mountain Bikes</t>
        </is>
      </c>
      <c r="G482" s="3" t="inlineStr">
        <is>
          <t>Black</t>
        </is>
      </c>
      <c r="H482" s="3" t="inlineStr">
        <is>
          <t>Mountain-200 Black, 38</t>
        </is>
      </c>
      <c r="I482" s="4" t="n">
        <v>2</v>
      </c>
      <c r="J482" s="24" t="n">
        <v>550</v>
      </c>
      <c r="K482" s="24" t="n">
        <v>850</v>
      </c>
      <c r="L482" s="25">
        <f>I482*K482</f>
        <v/>
      </c>
      <c r="M482" s="25">
        <f>I482*J482</f>
        <v/>
      </c>
      <c r="N482" s="25">
        <f>L482-M482</f>
        <v/>
      </c>
      <c r="O482" s="26">
        <f>IFERROR(N482/L482,0)</f>
        <v/>
      </c>
      <c r="P482">
        <f>YEAR(A482)</f>
        <v/>
      </c>
      <c r="Q482">
        <f>TEXT(A482,"mmm")</f>
        <v/>
      </c>
      <c r="R482">
        <f>IF(B482&lt;25,"18-24",IF(B482&lt;35,"25-34",IF(B482&lt;45,"35-44","45+")))</f>
        <v/>
      </c>
    </row>
    <row r="483">
      <c r="A483" s="23" t="n">
        <v>44548</v>
      </c>
      <c r="B483" s="3" t="n">
        <v>38</v>
      </c>
      <c r="C483" s="3" t="inlineStr">
        <is>
          <t>F</t>
        </is>
      </c>
      <c r="D483" s="3" t="inlineStr">
        <is>
          <t>Germany</t>
        </is>
      </c>
      <c r="E483" s="3" t="inlineStr">
        <is>
          <t>Nordrhein-Westfalen</t>
        </is>
      </c>
      <c r="F483" s="3" t="inlineStr">
        <is>
          <t>Mountain Bikes</t>
        </is>
      </c>
      <c r="G483" s="3" t="inlineStr">
        <is>
          <t>Silver</t>
        </is>
      </c>
      <c r="H483" s="3" t="inlineStr">
        <is>
          <t>Mountain-200 Silver, 46</t>
        </is>
      </c>
      <c r="I483" s="4" t="n">
        <v>4</v>
      </c>
      <c r="J483" s="24" t="n">
        <v>550</v>
      </c>
      <c r="K483" s="24" t="n">
        <v>850</v>
      </c>
      <c r="L483" s="25">
        <f>I483*K483</f>
        <v/>
      </c>
      <c r="M483" s="25">
        <f>I483*J483</f>
        <v/>
      </c>
      <c r="N483" s="25">
        <f>L483-M483</f>
        <v/>
      </c>
      <c r="O483" s="26">
        <f>IFERROR(N483/L483,0)</f>
        <v/>
      </c>
      <c r="P483">
        <f>YEAR(A483)</f>
        <v/>
      </c>
      <c r="Q483">
        <f>TEXT(A483,"mmm")</f>
        <v/>
      </c>
      <c r="R483">
        <f>IF(B483&lt;25,"18-24",IF(B483&lt;35,"25-34",IF(B483&lt;45,"35-44","45+")))</f>
        <v/>
      </c>
    </row>
    <row r="484">
      <c r="A484" s="23" t="n">
        <v>44549</v>
      </c>
      <c r="B484" s="3" t="n">
        <v>38</v>
      </c>
      <c r="C484" s="3" t="inlineStr">
        <is>
          <t>M</t>
        </is>
      </c>
      <c r="D484" s="3" t="inlineStr">
        <is>
          <t>Australia</t>
        </is>
      </c>
      <c r="E484" s="3" t="inlineStr">
        <is>
          <t>New South Wales</t>
        </is>
      </c>
      <c r="F484" s="3" t="inlineStr">
        <is>
          <t>Road Bikes</t>
        </is>
      </c>
      <c r="G484" s="3" t="inlineStr">
        <is>
          <t>Yellow</t>
        </is>
      </c>
      <c r="H484" s="3" t="inlineStr">
        <is>
          <t>Road-550-W Yellow, 42</t>
        </is>
      </c>
      <c r="I484" s="4" t="n">
        <v>1</v>
      </c>
      <c r="J484" s="24" t="n">
        <v>500</v>
      </c>
      <c r="K484" s="24" t="n">
        <v>800</v>
      </c>
      <c r="L484" s="25">
        <f>I484*K484</f>
        <v/>
      </c>
      <c r="M484" s="25">
        <f>I484*J484</f>
        <v/>
      </c>
      <c r="N484" s="25">
        <f>L484-M484</f>
        <v/>
      </c>
      <c r="O484" s="26">
        <f>IFERROR(N484/L484,0)</f>
        <v/>
      </c>
      <c r="P484">
        <f>YEAR(A484)</f>
        <v/>
      </c>
      <c r="Q484">
        <f>TEXT(A484,"mmm")</f>
        <v/>
      </c>
      <c r="R484">
        <f>IF(B484&lt;25,"18-24",IF(B484&lt;35,"25-34",IF(B484&lt;45,"35-44","45+")))</f>
        <v/>
      </c>
    </row>
    <row r="485">
      <c r="A485" s="23" t="n">
        <v>44554</v>
      </c>
      <c r="B485" s="3" t="n">
        <v>38</v>
      </c>
      <c r="C485" s="3" t="inlineStr">
        <is>
          <t>M</t>
        </is>
      </c>
      <c r="D485" s="3" t="inlineStr">
        <is>
          <t>Australia</t>
        </is>
      </c>
      <c r="E485" s="3" t="inlineStr">
        <is>
          <t>Queensland</t>
        </is>
      </c>
      <c r="F485" s="3" t="inlineStr">
        <is>
          <t>Mountain Bikes</t>
        </is>
      </c>
      <c r="G485" s="3" t="inlineStr">
        <is>
          <t>Black</t>
        </is>
      </c>
      <c r="H485" s="3" t="inlineStr">
        <is>
          <t>Mountain-200 Black, 42</t>
        </is>
      </c>
      <c r="I485" s="4" t="n">
        <v>4</v>
      </c>
      <c r="J485" s="24" t="n">
        <v>550</v>
      </c>
      <c r="K485" s="24" t="n">
        <v>850</v>
      </c>
      <c r="L485" s="25">
        <f>I485*K485</f>
        <v/>
      </c>
      <c r="M485" s="25">
        <f>I485*J485</f>
        <v/>
      </c>
      <c r="N485" s="25">
        <f>L485-M485</f>
        <v/>
      </c>
      <c r="O485" s="26">
        <f>IFERROR(N485/L485,0)</f>
        <v/>
      </c>
      <c r="P485">
        <f>YEAR(A485)</f>
        <v/>
      </c>
      <c r="Q485">
        <f>TEXT(A485,"mmm")</f>
        <v/>
      </c>
      <c r="R485">
        <f>IF(B485&lt;25,"18-24",IF(B485&lt;35,"25-34",IF(B485&lt;45,"35-44","45+")))</f>
        <v/>
      </c>
    </row>
    <row r="486">
      <c r="A486" s="23" t="n">
        <v>44555</v>
      </c>
      <c r="B486" s="3" t="n">
        <v>38</v>
      </c>
      <c r="C486" s="3" t="inlineStr">
        <is>
          <t>F</t>
        </is>
      </c>
      <c r="D486" s="3" t="inlineStr">
        <is>
          <t>Australia</t>
        </is>
      </c>
      <c r="E486" s="3" t="inlineStr">
        <is>
          <t>Victoria</t>
        </is>
      </c>
      <c r="F486" s="3" t="inlineStr">
        <is>
          <t>Mountain Bikes</t>
        </is>
      </c>
      <c r="G486" s="3" t="inlineStr">
        <is>
          <t>Silver</t>
        </is>
      </c>
      <c r="H486" s="3" t="inlineStr">
        <is>
          <t>Mountain-200 Silver, 38</t>
        </is>
      </c>
      <c r="I486" s="4" t="n">
        <v>2</v>
      </c>
      <c r="J486" s="24" t="n">
        <v>550</v>
      </c>
      <c r="K486" s="24" t="n">
        <v>850</v>
      </c>
      <c r="L486" s="25">
        <f>I486*K486</f>
        <v/>
      </c>
      <c r="M486" s="25">
        <f>I486*J486</f>
        <v/>
      </c>
      <c r="N486" s="25">
        <f>L486-M486</f>
        <v/>
      </c>
      <c r="O486" s="26">
        <f>IFERROR(N486/L486,0)</f>
        <v/>
      </c>
      <c r="P486">
        <f>YEAR(A486)</f>
        <v/>
      </c>
      <c r="Q486">
        <f>TEXT(A486,"mmm")</f>
        <v/>
      </c>
      <c r="R486">
        <f>IF(B486&lt;25,"18-24",IF(B486&lt;35,"25-34",IF(B486&lt;45,"35-44","45+")))</f>
        <v/>
      </c>
    </row>
    <row r="487">
      <c r="A487" s="23" t="n">
        <v>44556</v>
      </c>
      <c r="B487" s="3" t="n">
        <v>38</v>
      </c>
      <c r="C487" s="3" t="inlineStr">
        <is>
          <t>F</t>
        </is>
      </c>
      <c r="D487" s="3" t="inlineStr">
        <is>
          <t>Australia</t>
        </is>
      </c>
      <c r="E487" s="3" t="inlineStr">
        <is>
          <t>Queensland</t>
        </is>
      </c>
      <c r="F487" s="3" t="inlineStr">
        <is>
          <t>Mountain Bikes</t>
        </is>
      </c>
      <c r="G487" s="3" t="inlineStr">
        <is>
          <t>Black</t>
        </is>
      </c>
      <c r="H487" s="3" t="inlineStr">
        <is>
          <t>Mountain-200 Black, 38</t>
        </is>
      </c>
      <c r="I487" s="4" t="n">
        <v>3</v>
      </c>
      <c r="J487" s="24" t="n">
        <v>550</v>
      </c>
      <c r="K487" s="24" t="n">
        <v>850</v>
      </c>
      <c r="L487" s="25">
        <f>I487*K487</f>
        <v/>
      </c>
      <c r="M487" s="25">
        <f>I487*J487</f>
        <v/>
      </c>
      <c r="N487" s="25">
        <f>L487-M487</f>
        <v/>
      </c>
      <c r="O487" s="26">
        <f>IFERROR(N487/L487,0)</f>
        <v/>
      </c>
      <c r="P487">
        <f>YEAR(A487)</f>
        <v/>
      </c>
      <c r="Q487">
        <f>TEXT(A487,"mmm")</f>
        <v/>
      </c>
      <c r="R487">
        <f>IF(B487&lt;25,"18-24",IF(B487&lt;35,"25-34",IF(B487&lt;45,"35-44","45+")))</f>
        <v/>
      </c>
    </row>
    <row r="488">
      <c r="A488" s="23" t="n">
        <v>44557</v>
      </c>
      <c r="B488" s="3" t="n">
        <v>38</v>
      </c>
      <c r="C488" s="3" t="inlineStr">
        <is>
          <t>M</t>
        </is>
      </c>
      <c r="D488" s="3" t="inlineStr">
        <is>
          <t>Australia</t>
        </is>
      </c>
      <c r="E488" s="3" t="inlineStr">
        <is>
          <t>Victoria</t>
        </is>
      </c>
      <c r="F488" s="3" t="inlineStr">
        <is>
          <t>Mountain Bikes</t>
        </is>
      </c>
      <c r="G488" s="3" t="inlineStr">
        <is>
          <t>Silver</t>
        </is>
      </c>
      <c r="H488" s="3" t="inlineStr">
        <is>
          <t>Mountain-200 Silver, 42</t>
        </is>
      </c>
      <c r="I488" s="4" t="n">
        <v>1</v>
      </c>
      <c r="J488" s="24" t="n">
        <v>550</v>
      </c>
      <c r="K488" s="24" t="n">
        <v>850</v>
      </c>
      <c r="L488" s="25">
        <f>I488*K488</f>
        <v/>
      </c>
      <c r="M488" s="25">
        <f>I488*J488</f>
        <v/>
      </c>
      <c r="N488" s="25">
        <f>L488-M488</f>
        <v/>
      </c>
      <c r="O488" s="26">
        <f>IFERROR(N488/L488,0)</f>
        <v/>
      </c>
      <c r="P488">
        <f>YEAR(A488)</f>
        <v/>
      </c>
      <c r="Q488">
        <f>TEXT(A488,"mmm")</f>
        <v/>
      </c>
      <c r="R488">
        <f>IF(B488&lt;25,"18-24",IF(B488&lt;35,"25-34",IF(B488&lt;45,"35-44","45+")))</f>
        <v/>
      </c>
    </row>
    <row r="489">
      <c r="A489" s="23" t="n">
        <v>44481</v>
      </c>
      <c r="B489" s="3" t="n">
        <v>39</v>
      </c>
      <c r="C489" s="3" t="inlineStr">
        <is>
          <t>F</t>
        </is>
      </c>
      <c r="D489" s="3" t="inlineStr">
        <is>
          <t>Australia</t>
        </is>
      </c>
      <c r="E489" s="3" t="inlineStr">
        <is>
          <t>Queensland</t>
        </is>
      </c>
      <c r="F489" s="3" t="inlineStr">
        <is>
          <t>Road Bikes</t>
        </is>
      </c>
      <c r="G489" s="3" t="inlineStr">
        <is>
          <t>Yellow</t>
        </is>
      </c>
      <c r="H489" s="3" t="inlineStr">
        <is>
          <t>Road-350-W Yellow, 48</t>
        </is>
      </c>
      <c r="I489" s="4" t="n">
        <v>1</v>
      </c>
      <c r="J489" s="24" t="n">
        <v>530</v>
      </c>
      <c r="K489" s="24" t="n">
        <v>840</v>
      </c>
      <c r="L489" s="25">
        <f>I489*K489</f>
        <v/>
      </c>
      <c r="M489" s="25">
        <f>I489*J489</f>
        <v/>
      </c>
      <c r="N489" s="25">
        <f>L489-M489</f>
        <v/>
      </c>
      <c r="O489" s="26">
        <f>IFERROR(N489/L489,0)</f>
        <v/>
      </c>
      <c r="P489">
        <f>YEAR(A489)</f>
        <v/>
      </c>
      <c r="Q489">
        <f>TEXT(A489,"mmm")</f>
        <v/>
      </c>
      <c r="R489">
        <f>IF(B489&lt;25,"18-24",IF(B489&lt;35,"25-34",IF(B489&lt;45,"35-44","45+")))</f>
        <v/>
      </c>
    </row>
    <row r="490">
      <c r="A490" s="23" t="n">
        <v>44489</v>
      </c>
      <c r="B490" s="3" t="n">
        <v>39</v>
      </c>
      <c r="C490" s="3" t="inlineStr">
        <is>
          <t>M</t>
        </is>
      </c>
      <c r="D490" s="3" t="inlineStr">
        <is>
          <t>United Kingdom</t>
        </is>
      </c>
      <c r="E490" s="3" t="inlineStr">
        <is>
          <t>England</t>
        </is>
      </c>
      <c r="F490" s="3" t="inlineStr">
        <is>
          <t>Road Bikes</t>
        </is>
      </c>
      <c r="G490" s="3" t="inlineStr">
        <is>
          <t>Red</t>
        </is>
      </c>
      <c r="H490" s="3" t="inlineStr">
        <is>
          <t>Road-150 Red, 44</t>
        </is>
      </c>
      <c r="I490" s="4" t="n">
        <v>2</v>
      </c>
      <c r="J490" s="24" t="n">
        <v>900</v>
      </c>
      <c r="K490" s="24" t="n">
        <v>1400</v>
      </c>
      <c r="L490" s="25">
        <f>I490*K490</f>
        <v/>
      </c>
      <c r="M490" s="25">
        <f>I490*J490</f>
        <v/>
      </c>
      <c r="N490" s="25">
        <f>L490-M490</f>
        <v/>
      </c>
      <c r="O490" s="26">
        <f>IFERROR(N490/L490,0)</f>
        <v/>
      </c>
      <c r="P490">
        <f>YEAR(A490)</f>
        <v/>
      </c>
      <c r="Q490">
        <f>TEXT(A490,"mmm")</f>
        <v/>
      </c>
      <c r="R490">
        <f>IF(B490&lt;25,"18-24",IF(B490&lt;35,"25-34",IF(B490&lt;45,"35-44","45+")))</f>
        <v/>
      </c>
    </row>
    <row r="491">
      <c r="A491" s="23" t="n">
        <v>44493</v>
      </c>
      <c r="B491" s="3" t="n">
        <v>39</v>
      </c>
      <c r="C491" s="3" t="inlineStr">
        <is>
          <t>F</t>
        </is>
      </c>
      <c r="D491" s="3" t="inlineStr">
        <is>
          <t>Australia</t>
        </is>
      </c>
      <c r="E491" s="3" t="inlineStr">
        <is>
          <t>Victoria</t>
        </is>
      </c>
      <c r="F491" s="3" t="inlineStr">
        <is>
          <t>Road Bikes</t>
        </is>
      </c>
      <c r="G491" s="3" t="inlineStr">
        <is>
          <t>Red</t>
        </is>
      </c>
      <c r="H491" s="3" t="inlineStr">
        <is>
          <t>Road-150 Red, 56</t>
        </is>
      </c>
      <c r="I491" s="4" t="n">
        <v>1</v>
      </c>
      <c r="J491" s="24" t="n">
        <v>900</v>
      </c>
      <c r="K491" s="24" t="n">
        <v>1400</v>
      </c>
      <c r="L491" s="25">
        <f>I491*K491</f>
        <v/>
      </c>
      <c r="M491" s="25">
        <f>I491*J491</f>
        <v/>
      </c>
      <c r="N491" s="25">
        <f>L491-M491</f>
        <v/>
      </c>
      <c r="O491" s="26">
        <f>IFERROR(N491/L491,0)</f>
        <v/>
      </c>
      <c r="P491">
        <f>YEAR(A491)</f>
        <v/>
      </c>
      <c r="Q491">
        <f>TEXT(A491,"mmm")</f>
        <v/>
      </c>
      <c r="R491">
        <f>IF(B491&lt;25,"18-24",IF(B491&lt;35,"25-34",IF(B491&lt;45,"35-44","45+")))</f>
        <v/>
      </c>
    </row>
    <row r="492">
      <c r="A492" s="23" t="n">
        <v>44500</v>
      </c>
      <c r="B492" s="3" t="n">
        <v>39</v>
      </c>
      <c r="C492" s="3" t="inlineStr">
        <is>
          <t>F</t>
        </is>
      </c>
      <c r="D492" s="3" t="inlineStr">
        <is>
          <t>United Kingdom</t>
        </is>
      </c>
      <c r="E492" s="3" t="inlineStr">
        <is>
          <t>England</t>
        </is>
      </c>
      <c r="F492" s="3" t="inlineStr">
        <is>
          <t>Road Bikes</t>
        </is>
      </c>
      <c r="G492" s="3" t="inlineStr">
        <is>
          <t>Black</t>
        </is>
      </c>
      <c r="H492" s="3" t="inlineStr">
        <is>
          <t>Road-750 Black, 48</t>
        </is>
      </c>
      <c r="I492" s="4" t="n">
        <v>1</v>
      </c>
      <c r="J492" s="24" t="n">
        <v>700</v>
      </c>
      <c r="K492" s="24" t="n">
        <v>1100</v>
      </c>
      <c r="L492" s="25">
        <f>I492*K492</f>
        <v/>
      </c>
      <c r="M492" s="25">
        <f>I492*J492</f>
        <v/>
      </c>
      <c r="N492" s="25">
        <f>L492-M492</f>
        <v/>
      </c>
      <c r="O492" s="26">
        <f>IFERROR(N492/L492,0)</f>
        <v/>
      </c>
      <c r="P492">
        <f>YEAR(A492)</f>
        <v/>
      </c>
      <c r="Q492">
        <f>TEXT(A492,"mmm")</f>
        <v/>
      </c>
      <c r="R492">
        <f>IF(B492&lt;25,"18-24",IF(B492&lt;35,"25-34",IF(B492&lt;45,"35-44","45+")))</f>
        <v/>
      </c>
    </row>
    <row r="493">
      <c r="A493" s="23" t="n">
        <v>44508</v>
      </c>
      <c r="B493" s="3" t="n">
        <v>39</v>
      </c>
      <c r="C493" s="3" t="inlineStr">
        <is>
          <t>M</t>
        </is>
      </c>
      <c r="D493" s="3" t="inlineStr">
        <is>
          <t>Australia</t>
        </is>
      </c>
      <c r="E493" s="3" t="inlineStr">
        <is>
          <t>Victoria</t>
        </is>
      </c>
      <c r="F493" s="3" t="inlineStr">
        <is>
          <t>Mountain Bikes</t>
        </is>
      </c>
      <c r="G493" s="3" t="inlineStr">
        <is>
          <t>Silver</t>
        </is>
      </c>
      <c r="H493" s="3" t="inlineStr">
        <is>
          <t>Mountain-400-W Silver, 40</t>
        </is>
      </c>
      <c r="I493" s="4" t="n">
        <v>1</v>
      </c>
      <c r="J493" s="24" t="n">
        <v>450</v>
      </c>
      <c r="K493" s="24" t="n">
        <v>720</v>
      </c>
      <c r="L493" s="25">
        <f>I493*K493</f>
        <v/>
      </c>
      <c r="M493" s="25">
        <f>I493*J493</f>
        <v/>
      </c>
      <c r="N493" s="25">
        <f>L493-M493</f>
        <v/>
      </c>
      <c r="O493" s="26">
        <f>IFERROR(N493/L493,0)</f>
        <v/>
      </c>
      <c r="P493">
        <f>YEAR(A493)</f>
        <v/>
      </c>
      <c r="Q493">
        <f>TEXT(A493,"mmm")</f>
        <v/>
      </c>
      <c r="R493">
        <f>IF(B493&lt;25,"18-24",IF(B493&lt;35,"25-34",IF(B493&lt;45,"35-44","45+")))</f>
        <v/>
      </c>
    </row>
    <row r="494">
      <c r="A494" s="23" t="n">
        <v>44510</v>
      </c>
      <c r="B494" s="3" t="n">
        <v>39</v>
      </c>
      <c r="C494" s="3" t="inlineStr">
        <is>
          <t>F</t>
        </is>
      </c>
      <c r="D494" s="3" t="inlineStr">
        <is>
          <t>United Kingdom</t>
        </is>
      </c>
      <c r="E494" s="3" t="inlineStr">
        <is>
          <t>England</t>
        </is>
      </c>
      <c r="F494" s="3" t="inlineStr">
        <is>
          <t>Road Bikes</t>
        </is>
      </c>
      <c r="G494" s="3" t="inlineStr">
        <is>
          <t>Black</t>
        </is>
      </c>
      <c r="H494" s="3" t="inlineStr">
        <is>
          <t>Road-750 Black, 48</t>
        </is>
      </c>
      <c r="I494" s="4" t="n">
        <v>3</v>
      </c>
      <c r="J494" s="24" t="n">
        <v>700</v>
      </c>
      <c r="K494" s="24" t="n">
        <v>1100</v>
      </c>
      <c r="L494" s="25">
        <f>I494*K494</f>
        <v/>
      </c>
      <c r="M494" s="25">
        <f>I494*J494</f>
        <v/>
      </c>
      <c r="N494" s="25">
        <f>L494-M494</f>
        <v/>
      </c>
      <c r="O494" s="26">
        <f>IFERROR(N494/L494,0)</f>
        <v/>
      </c>
      <c r="P494">
        <f>YEAR(A494)</f>
        <v/>
      </c>
      <c r="Q494">
        <f>TEXT(A494,"mmm")</f>
        <v/>
      </c>
      <c r="R494">
        <f>IF(B494&lt;25,"18-24",IF(B494&lt;35,"25-34",IF(B494&lt;45,"35-44","45+")))</f>
        <v/>
      </c>
    </row>
    <row r="495">
      <c r="A495" s="23" t="n">
        <v>44511</v>
      </c>
      <c r="B495" s="3" t="n">
        <v>39</v>
      </c>
      <c r="C495" s="3" t="inlineStr">
        <is>
          <t>M</t>
        </is>
      </c>
      <c r="D495" s="3" t="inlineStr">
        <is>
          <t>France</t>
        </is>
      </c>
      <c r="E495" s="3" t="inlineStr">
        <is>
          <t>Seine (Paris)</t>
        </is>
      </c>
      <c r="F495" s="3" t="inlineStr">
        <is>
          <t>Road Bikes</t>
        </is>
      </c>
      <c r="G495" s="3" t="inlineStr">
        <is>
          <t>Yellow</t>
        </is>
      </c>
      <c r="H495" s="3" t="inlineStr">
        <is>
          <t>Road-550-W Yellow, 40</t>
        </is>
      </c>
      <c r="I495" s="4" t="n">
        <v>3</v>
      </c>
      <c r="J495" s="24" t="n">
        <v>500</v>
      </c>
      <c r="K495" s="24" t="n">
        <v>800</v>
      </c>
      <c r="L495" s="25">
        <f>I495*K495</f>
        <v/>
      </c>
      <c r="M495" s="25">
        <f>I495*J495</f>
        <v/>
      </c>
      <c r="N495" s="25">
        <f>L495-M495</f>
        <v/>
      </c>
      <c r="O495" s="26">
        <f>IFERROR(N495/L495,0)</f>
        <v/>
      </c>
      <c r="P495">
        <f>YEAR(A495)</f>
        <v/>
      </c>
      <c r="Q495">
        <f>TEXT(A495,"mmm")</f>
        <v/>
      </c>
      <c r="R495">
        <f>IF(B495&lt;25,"18-24",IF(B495&lt;35,"25-34",IF(B495&lt;45,"35-44","45+")))</f>
        <v/>
      </c>
    </row>
    <row r="496">
      <c r="A496" s="23" t="n">
        <v>44511</v>
      </c>
      <c r="B496" s="3" t="n">
        <v>39</v>
      </c>
      <c r="C496" s="3" t="inlineStr">
        <is>
          <t>M</t>
        </is>
      </c>
      <c r="D496" s="3" t="inlineStr">
        <is>
          <t>United Kingdom</t>
        </is>
      </c>
      <c r="E496" s="3" t="inlineStr">
        <is>
          <t>England</t>
        </is>
      </c>
      <c r="F496" s="3" t="inlineStr">
        <is>
          <t>Road Bikes</t>
        </is>
      </c>
      <c r="G496" s="3" t="inlineStr">
        <is>
          <t>Red</t>
        </is>
      </c>
      <c r="H496" s="3" t="inlineStr">
        <is>
          <t>Road-150 Red, 44</t>
        </is>
      </c>
      <c r="I496" s="4" t="n">
        <v>1</v>
      </c>
      <c r="J496" s="24" t="n">
        <v>900</v>
      </c>
      <c r="K496" s="24" t="n">
        <v>1400</v>
      </c>
      <c r="L496" s="25">
        <f>I496*K496</f>
        <v/>
      </c>
      <c r="M496" s="25">
        <f>I496*J496</f>
        <v/>
      </c>
      <c r="N496" s="25">
        <f>L496-M496</f>
        <v/>
      </c>
      <c r="O496" s="26">
        <f>IFERROR(N496/L496,0)</f>
        <v/>
      </c>
      <c r="P496">
        <f>YEAR(A496)</f>
        <v/>
      </c>
      <c r="Q496">
        <f>TEXT(A496,"mmm")</f>
        <v/>
      </c>
      <c r="R496">
        <f>IF(B496&lt;25,"18-24",IF(B496&lt;35,"25-34",IF(B496&lt;45,"35-44","45+")))</f>
        <v/>
      </c>
    </row>
    <row r="497">
      <c r="A497" s="23" t="n">
        <v>44512</v>
      </c>
      <c r="B497" s="3" t="n">
        <v>39</v>
      </c>
      <c r="C497" s="3" t="inlineStr">
        <is>
          <t>F</t>
        </is>
      </c>
      <c r="D497" s="3" t="inlineStr">
        <is>
          <t>United Kingdom</t>
        </is>
      </c>
      <c r="E497" s="3" t="inlineStr">
        <is>
          <t>England</t>
        </is>
      </c>
      <c r="F497" s="3" t="inlineStr">
        <is>
          <t>Road Bikes</t>
        </is>
      </c>
      <c r="G497" s="3" t="inlineStr">
        <is>
          <t>Black</t>
        </is>
      </c>
      <c r="H497" s="3" t="inlineStr">
        <is>
          <t>Road-750 Black, 48</t>
        </is>
      </c>
      <c r="I497" s="4" t="n">
        <v>1</v>
      </c>
      <c r="J497" s="24" t="n">
        <v>700</v>
      </c>
      <c r="K497" s="24" t="n">
        <v>1100</v>
      </c>
      <c r="L497" s="25">
        <f>I497*K497</f>
        <v/>
      </c>
      <c r="M497" s="25">
        <f>I497*J497</f>
        <v/>
      </c>
      <c r="N497" s="25">
        <f>L497-M497</f>
        <v/>
      </c>
      <c r="O497" s="26">
        <f>IFERROR(N497/L497,0)</f>
        <v/>
      </c>
      <c r="P497">
        <f>YEAR(A497)</f>
        <v/>
      </c>
      <c r="Q497">
        <f>TEXT(A497,"mmm")</f>
        <v/>
      </c>
      <c r="R497">
        <f>IF(B497&lt;25,"18-24",IF(B497&lt;35,"25-34",IF(B497&lt;45,"35-44","45+")))</f>
        <v/>
      </c>
    </row>
    <row r="498">
      <c r="A498" s="23" t="n">
        <v>44520</v>
      </c>
      <c r="B498" s="3" t="n">
        <v>39</v>
      </c>
      <c r="C498" s="3" t="inlineStr">
        <is>
          <t>F</t>
        </is>
      </c>
      <c r="D498" s="3" t="inlineStr">
        <is>
          <t>Germany</t>
        </is>
      </c>
      <c r="E498" s="3" t="inlineStr">
        <is>
          <t>Saarland</t>
        </is>
      </c>
      <c r="F498" s="3" t="inlineStr">
        <is>
          <t>Mountain Bikes</t>
        </is>
      </c>
      <c r="G498" s="3" t="inlineStr">
        <is>
          <t>Silver</t>
        </is>
      </c>
      <c r="H498" s="3" t="inlineStr">
        <is>
          <t>Mountain-200 Silver, 38</t>
        </is>
      </c>
      <c r="I498" s="4" t="n">
        <v>1</v>
      </c>
      <c r="J498" s="24" t="n">
        <v>550</v>
      </c>
      <c r="K498" s="24" t="n">
        <v>850</v>
      </c>
      <c r="L498" s="25">
        <f>I498*K498</f>
        <v/>
      </c>
      <c r="M498" s="25">
        <f>I498*J498</f>
        <v/>
      </c>
      <c r="N498" s="25">
        <f>L498-M498</f>
        <v/>
      </c>
      <c r="O498" s="26">
        <f>IFERROR(N498/L498,0)</f>
        <v/>
      </c>
      <c r="P498">
        <f>YEAR(A498)</f>
        <v/>
      </c>
      <c r="Q498">
        <f>TEXT(A498,"mmm")</f>
        <v/>
      </c>
      <c r="R498">
        <f>IF(B498&lt;25,"18-24",IF(B498&lt;35,"25-34",IF(B498&lt;45,"35-44","45+")))</f>
        <v/>
      </c>
    </row>
    <row r="499">
      <c r="A499" s="23" t="n">
        <v>44524</v>
      </c>
      <c r="B499" s="3" t="n">
        <v>39</v>
      </c>
      <c r="C499" s="3" t="inlineStr">
        <is>
          <t>F</t>
        </is>
      </c>
      <c r="D499" s="3" t="inlineStr">
        <is>
          <t>Australia</t>
        </is>
      </c>
      <c r="E499" s="3" t="inlineStr">
        <is>
          <t>Victoria</t>
        </is>
      </c>
      <c r="F499" s="3" t="inlineStr">
        <is>
          <t>Road Bikes</t>
        </is>
      </c>
      <c r="G499" s="3" t="inlineStr">
        <is>
          <t>Red</t>
        </is>
      </c>
      <c r="H499" s="3" t="inlineStr">
        <is>
          <t>Road-150 Red, 56</t>
        </is>
      </c>
      <c r="I499" s="4" t="n">
        <v>1</v>
      </c>
      <c r="J499" s="24" t="n">
        <v>900</v>
      </c>
      <c r="K499" s="24" t="n">
        <v>1400</v>
      </c>
      <c r="L499" s="25">
        <f>I499*K499</f>
        <v/>
      </c>
      <c r="M499" s="25">
        <f>I499*J499</f>
        <v/>
      </c>
      <c r="N499" s="25">
        <f>L499-M499</f>
        <v/>
      </c>
      <c r="O499" s="26">
        <f>IFERROR(N499/L499,0)</f>
        <v/>
      </c>
      <c r="P499">
        <f>YEAR(A499)</f>
        <v/>
      </c>
      <c r="Q499">
        <f>TEXT(A499,"mmm")</f>
        <v/>
      </c>
      <c r="R499">
        <f>IF(B499&lt;25,"18-24",IF(B499&lt;35,"25-34",IF(B499&lt;45,"35-44","45+")))</f>
        <v/>
      </c>
    </row>
    <row r="500">
      <c r="A500" s="23" t="n">
        <v>44527</v>
      </c>
      <c r="B500" s="3" t="n">
        <v>39</v>
      </c>
      <c r="C500" s="3" t="inlineStr">
        <is>
          <t>F</t>
        </is>
      </c>
      <c r="D500" s="3" t="inlineStr">
        <is>
          <t>France</t>
        </is>
      </c>
      <c r="E500" s="3" t="inlineStr">
        <is>
          <t>Nord</t>
        </is>
      </c>
      <c r="F500" s="3" t="inlineStr">
        <is>
          <t>Road Bikes</t>
        </is>
      </c>
      <c r="G500" s="3" t="inlineStr">
        <is>
          <t>Yellow</t>
        </is>
      </c>
      <c r="H500" s="3" t="inlineStr">
        <is>
          <t>Road-350-W Yellow, 40</t>
        </is>
      </c>
      <c r="I500" s="4" t="n">
        <v>3</v>
      </c>
      <c r="J500" s="24" t="n">
        <v>530</v>
      </c>
      <c r="K500" s="24" t="n">
        <v>840</v>
      </c>
      <c r="L500" s="25">
        <f>I500*K500</f>
        <v/>
      </c>
      <c r="M500" s="25">
        <f>I500*J500</f>
        <v/>
      </c>
      <c r="N500" s="25">
        <f>L500-M500</f>
        <v/>
      </c>
      <c r="O500" s="26">
        <f>IFERROR(N500/L500,0)</f>
        <v/>
      </c>
      <c r="P500">
        <f>YEAR(A500)</f>
        <v/>
      </c>
      <c r="Q500">
        <f>TEXT(A500,"mmm")</f>
        <v/>
      </c>
      <c r="R500">
        <f>IF(B500&lt;25,"18-24",IF(B500&lt;35,"25-34",IF(B500&lt;45,"35-44","45+")))</f>
        <v/>
      </c>
    </row>
    <row r="501">
      <c r="A501" s="23" t="n">
        <v>44531</v>
      </c>
      <c r="B501" s="3" t="n">
        <v>39</v>
      </c>
      <c r="C501" s="3" t="inlineStr">
        <is>
          <t>F</t>
        </is>
      </c>
      <c r="D501" s="3" t="inlineStr">
        <is>
          <t>United States</t>
        </is>
      </c>
      <c r="E501" s="3" t="inlineStr">
        <is>
          <t>California</t>
        </is>
      </c>
      <c r="F501" s="3" t="inlineStr">
        <is>
          <t>Mountain Bikes</t>
        </is>
      </c>
      <c r="G501" s="3" t="inlineStr">
        <is>
          <t>Black</t>
        </is>
      </c>
      <c r="H501" s="3" t="inlineStr">
        <is>
          <t>Mountain-200 Black, 46</t>
        </is>
      </c>
      <c r="I501" s="4" t="n">
        <v>4</v>
      </c>
      <c r="J501" s="24" t="n">
        <v>550</v>
      </c>
      <c r="K501" s="24" t="n">
        <v>850</v>
      </c>
      <c r="L501" s="25">
        <f>I501*K501</f>
        <v/>
      </c>
      <c r="M501" s="25">
        <f>I501*J501</f>
        <v/>
      </c>
      <c r="N501" s="25">
        <f>L501-M501</f>
        <v/>
      </c>
      <c r="O501" s="26">
        <f>IFERROR(N501/L501,0)</f>
        <v/>
      </c>
      <c r="P501">
        <f>YEAR(A501)</f>
        <v/>
      </c>
      <c r="Q501">
        <f>TEXT(A501,"mmm")</f>
        <v/>
      </c>
      <c r="R501">
        <f>IF(B501&lt;25,"18-24",IF(B501&lt;35,"25-34",IF(B501&lt;45,"35-44","45+")))</f>
        <v/>
      </c>
    </row>
    <row r="502">
      <c r="A502" s="23" t="n">
        <v>44532</v>
      </c>
      <c r="B502" s="3" t="n">
        <v>39</v>
      </c>
      <c r="C502" s="3" t="inlineStr">
        <is>
          <t>F</t>
        </is>
      </c>
      <c r="D502" s="3" t="inlineStr">
        <is>
          <t>United Kingdom</t>
        </is>
      </c>
      <c r="E502" s="3" t="inlineStr">
        <is>
          <t>England</t>
        </is>
      </c>
      <c r="F502" s="3" t="inlineStr">
        <is>
          <t>Road Bikes</t>
        </is>
      </c>
      <c r="G502" s="3" t="inlineStr">
        <is>
          <t>Black</t>
        </is>
      </c>
      <c r="H502" s="3" t="inlineStr">
        <is>
          <t>Road-750 Black, 48</t>
        </is>
      </c>
      <c r="I502" s="4" t="n">
        <v>4</v>
      </c>
      <c r="J502" s="24" t="n">
        <v>700</v>
      </c>
      <c r="K502" s="24" t="n">
        <v>1100</v>
      </c>
      <c r="L502" s="25">
        <f>I502*K502</f>
        <v/>
      </c>
      <c r="M502" s="25">
        <f>I502*J502</f>
        <v/>
      </c>
      <c r="N502" s="25">
        <f>L502-M502</f>
        <v/>
      </c>
      <c r="O502" s="26">
        <f>IFERROR(N502/L502,0)</f>
        <v/>
      </c>
      <c r="P502">
        <f>YEAR(A502)</f>
        <v/>
      </c>
      <c r="Q502">
        <f>TEXT(A502,"mmm")</f>
        <v/>
      </c>
      <c r="R502">
        <f>IF(B502&lt;25,"18-24",IF(B502&lt;35,"25-34",IF(B502&lt;45,"35-44","45+")))</f>
        <v/>
      </c>
    </row>
    <row r="503">
      <c r="A503" s="23" t="n">
        <v>44535</v>
      </c>
      <c r="B503" s="3" t="n">
        <v>39</v>
      </c>
      <c r="C503" s="3" t="inlineStr">
        <is>
          <t>F</t>
        </is>
      </c>
      <c r="D503" s="3" t="inlineStr">
        <is>
          <t>United States</t>
        </is>
      </c>
      <c r="E503" s="3" t="inlineStr">
        <is>
          <t>California</t>
        </is>
      </c>
      <c r="F503" s="3" t="inlineStr">
        <is>
          <t>Mountain Bikes</t>
        </is>
      </c>
      <c r="G503" s="3" t="inlineStr">
        <is>
          <t>Black</t>
        </is>
      </c>
      <c r="H503" s="3" t="inlineStr">
        <is>
          <t>Mountain-200 Black, 46</t>
        </is>
      </c>
      <c r="I503" s="4" t="n">
        <v>4</v>
      </c>
      <c r="J503" s="24" t="n">
        <v>550</v>
      </c>
      <c r="K503" s="24" t="n">
        <v>850</v>
      </c>
      <c r="L503" s="25">
        <f>I503*K503</f>
        <v/>
      </c>
      <c r="M503" s="25">
        <f>I503*J503</f>
        <v/>
      </c>
      <c r="N503" s="25">
        <f>L503-M503</f>
        <v/>
      </c>
      <c r="O503" s="26">
        <f>IFERROR(N503/L503,0)</f>
        <v/>
      </c>
      <c r="P503">
        <f>YEAR(A503)</f>
        <v/>
      </c>
      <c r="Q503">
        <f>TEXT(A503,"mmm")</f>
        <v/>
      </c>
      <c r="R503">
        <f>IF(B503&lt;25,"18-24",IF(B503&lt;35,"25-34",IF(B503&lt;45,"35-44","45+")))</f>
        <v/>
      </c>
    </row>
    <row r="504">
      <c r="A504" s="23" t="n">
        <v>44538</v>
      </c>
      <c r="B504" s="3" t="n">
        <v>39</v>
      </c>
      <c r="C504" s="3" t="inlineStr">
        <is>
          <t>F</t>
        </is>
      </c>
      <c r="D504" s="3" t="inlineStr">
        <is>
          <t>United States</t>
        </is>
      </c>
      <c r="E504" s="3" t="inlineStr">
        <is>
          <t>Oregon</t>
        </is>
      </c>
      <c r="F504" s="3" t="inlineStr">
        <is>
          <t>Mountain Bikes</t>
        </is>
      </c>
      <c r="G504" s="3" t="inlineStr">
        <is>
          <t>Black</t>
        </is>
      </c>
      <c r="H504" s="3" t="inlineStr">
        <is>
          <t>Mountain-200 Black, 42</t>
        </is>
      </c>
      <c r="I504" s="4" t="n">
        <v>2</v>
      </c>
      <c r="J504" s="24" t="n">
        <v>550</v>
      </c>
      <c r="K504" s="24" t="n">
        <v>850</v>
      </c>
      <c r="L504" s="25">
        <f>I504*K504</f>
        <v/>
      </c>
      <c r="M504" s="25">
        <f>I504*J504</f>
        <v/>
      </c>
      <c r="N504" s="25">
        <f>L504-M504</f>
        <v/>
      </c>
      <c r="O504" s="26">
        <f>IFERROR(N504/L504,0)</f>
        <v/>
      </c>
      <c r="P504">
        <f>YEAR(A504)</f>
        <v/>
      </c>
      <c r="Q504">
        <f>TEXT(A504,"mmm")</f>
        <v/>
      </c>
      <c r="R504">
        <f>IF(B504&lt;25,"18-24",IF(B504&lt;35,"25-34",IF(B504&lt;45,"35-44","45+")))</f>
        <v/>
      </c>
    </row>
    <row r="505">
      <c r="A505" s="23" t="n">
        <v>44548</v>
      </c>
      <c r="B505" s="3" t="n">
        <v>39</v>
      </c>
      <c r="C505" s="3" t="inlineStr">
        <is>
          <t>M</t>
        </is>
      </c>
      <c r="D505" s="3" t="inlineStr">
        <is>
          <t>United States</t>
        </is>
      </c>
      <c r="E505" s="3" t="inlineStr">
        <is>
          <t>California</t>
        </is>
      </c>
      <c r="F505" s="3" t="inlineStr">
        <is>
          <t>Mountain Bikes</t>
        </is>
      </c>
      <c r="G505" s="3" t="inlineStr">
        <is>
          <t>Black</t>
        </is>
      </c>
      <c r="H505" s="3" t="inlineStr">
        <is>
          <t>Mountain-200 Black, 42</t>
        </is>
      </c>
      <c r="I505" s="4" t="n">
        <v>3</v>
      </c>
      <c r="J505" s="24" t="n">
        <v>550</v>
      </c>
      <c r="K505" s="24" t="n">
        <v>850</v>
      </c>
      <c r="L505" s="25">
        <f>I505*K505</f>
        <v/>
      </c>
      <c r="M505" s="25">
        <f>I505*J505</f>
        <v/>
      </c>
      <c r="N505" s="25">
        <f>L505-M505</f>
        <v/>
      </c>
      <c r="O505" s="26">
        <f>IFERROR(N505/L505,0)</f>
        <v/>
      </c>
      <c r="P505">
        <f>YEAR(A505)</f>
        <v/>
      </c>
      <c r="Q505">
        <f>TEXT(A505,"mmm")</f>
        <v/>
      </c>
      <c r="R505">
        <f>IF(B505&lt;25,"18-24",IF(B505&lt;35,"25-34",IF(B505&lt;45,"35-44","45+")))</f>
        <v/>
      </c>
    </row>
    <row r="506">
      <c r="A506" s="23" t="n">
        <v>44549</v>
      </c>
      <c r="B506" s="3" t="n">
        <v>39</v>
      </c>
      <c r="C506" s="3" t="inlineStr">
        <is>
          <t>F</t>
        </is>
      </c>
      <c r="D506" s="3" t="inlineStr">
        <is>
          <t>United States</t>
        </is>
      </c>
      <c r="E506" s="3" t="inlineStr">
        <is>
          <t>California</t>
        </is>
      </c>
      <c r="F506" s="3" t="inlineStr">
        <is>
          <t>Mountain Bikes</t>
        </is>
      </c>
      <c r="G506" s="3" t="inlineStr">
        <is>
          <t>Black</t>
        </is>
      </c>
      <c r="H506" s="3" t="inlineStr">
        <is>
          <t>Mountain-200 Black, 46</t>
        </is>
      </c>
      <c r="I506" s="4" t="n">
        <v>4</v>
      </c>
      <c r="J506" s="24" t="n">
        <v>550</v>
      </c>
      <c r="K506" s="24" t="n">
        <v>850</v>
      </c>
      <c r="L506" s="25">
        <f>I506*K506</f>
        <v/>
      </c>
      <c r="M506" s="25">
        <f>I506*J506</f>
        <v/>
      </c>
      <c r="N506" s="25">
        <f>L506-M506</f>
        <v/>
      </c>
      <c r="O506" s="26">
        <f>IFERROR(N506/L506,0)</f>
        <v/>
      </c>
      <c r="P506">
        <f>YEAR(A506)</f>
        <v/>
      </c>
      <c r="Q506">
        <f>TEXT(A506,"mmm")</f>
        <v/>
      </c>
      <c r="R506">
        <f>IF(B506&lt;25,"18-24",IF(B506&lt;35,"25-34",IF(B506&lt;45,"35-44","45+")))</f>
        <v/>
      </c>
    </row>
    <row r="507">
      <c r="A507" s="23" t="n">
        <v>44549</v>
      </c>
      <c r="B507" s="3" t="n">
        <v>39</v>
      </c>
      <c r="C507" s="3" t="inlineStr">
        <is>
          <t>F</t>
        </is>
      </c>
      <c r="D507" s="3" t="inlineStr">
        <is>
          <t>United States</t>
        </is>
      </c>
      <c r="E507" s="3" t="inlineStr">
        <is>
          <t>Washington</t>
        </is>
      </c>
      <c r="F507" s="3" t="inlineStr">
        <is>
          <t>Mountain Bikes</t>
        </is>
      </c>
      <c r="G507" s="3" t="inlineStr">
        <is>
          <t>Silver</t>
        </is>
      </c>
      <c r="H507" s="3" t="inlineStr">
        <is>
          <t>Mountain-200 Silver, 38</t>
        </is>
      </c>
      <c r="I507" s="4" t="n">
        <v>1</v>
      </c>
      <c r="J507" s="24" t="n">
        <v>550</v>
      </c>
      <c r="K507" s="24" t="n">
        <v>850</v>
      </c>
      <c r="L507" s="25">
        <f>I507*K507</f>
        <v/>
      </c>
      <c r="M507" s="25">
        <f>I507*J507</f>
        <v/>
      </c>
      <c r="N507" s="25">
        <f>L507-M507</f>
        <v/>
      </c>
      <c r="O507" s="26">
        <f>IFERROR(N507/L507,0)</f>
        <v/>
      </c>
      <c r="P507">
        <f>YEAR(A507)</f>
        <v/>
      </c>
      <c r="Q507">
        <f>TEXT(A507,"mmm")</f>
        <v/>
      </c>
      <c r="R507">
        <f>IF(B507&lt;25,"18-24",IF(B507&lt;35,"25-34",IF(B507&lt;45,"35-44","45+")))</f>
        <v/>
      </c>
    </row>
    <row r="508">
      <c r="A508" s="23" t="n">
        <v>44558</v>
      </c>
      <c r="B508" s="3" t="n">
        <v>39</v>
      </c>
      <c r="C508" s="3" t="inlineStr">
        <is>
          <t>F</t>
        </is>
      </c>
      <c r="D508" s="3" t="inlineStr">
        <is>
          <t>United States</t>
        </is>
      </c>
      <c r="E508" s="3" t="inlineStr">
        <is>
          <t>California</t>
        </is>
      </c>
      <c r="F508" s="3" t="inlineStr">
        <is>
          <t>Mountain Bikes</t>
        </is>
      </c>
      <c r="G508" s="3" t="inlineStr">
        <is>
          <t>Black</t>
        </is>
      </c>
      <c r="H508" s="3" t="inlineStr">
        <is>
          <t>Mountain-200 Black, 46</t>
        </is>
      </c>
      <c r="I508" s="4" t="n">
        <v>1</v>
      </c>
      <c r="J508" s="24" t="n">
        <v>550</v>
      </c>
      <c r="K508" s="24" t="n">
        <v>850</v>
      </c>
      <c r="L508" s="25">
        <f>I508*K508</f>
        <v/>
      </c>
      <c r="M508" s="25">
        <f>I508*J508</f>
        <v/>
      </c>
      <c r="N508" s="25">
        <f>L508-M508</f>
        <v/>
      </c>
      <c r="O508" s="26">
        <f>IFERROR(N508/L508,0)</f>
        <v/>
      </c>
      <c r="P508">
        <f>YEAR(A508)</f>
        <v/>
      </c>
      <c r="Q508">
        <f>TEXT(A508,"mmm")</f>
        <v/>
      </c>
      <c r="R508">
        <f>IF(B508&lt;25,"18-24",IF(B508&lt;35,"25-34",IF(B508&lt;45,"35-44","45+")))</f>
        <v/>
      </c>
    </row>
    <row r="509">
      <c r="A509" s="23" t="n">
        <v>44470</v>
      </c>
      <c r="B509" s="3" t="n">
        <v>40</v>
      </c>
      <c r="C509" s="3" t="inlineStr">
        <is>
          <t>F</t>
        </is>
      </c>
      <c r="D509" s="3" t="inlineStr">
        <is>
          <t>Australia</t>
        </is>
      </c>
      <c r="E509" s="3" t="inlineStr">
        <is>
          <t>Queensland</t>
        </is>
      </c>
      <c r="F509" s="3" t="inlineStr">
        <is>
          <t>Road Bikes</t>
        </is>
      </c>
      <c r="G509" s="3" t="inlineStr">
        <is>
          <t>Yellow</t>
        </is>
      </c>
      <c r="H509" s="3" t="inlineStr">
        <is>
          <t>Road-350-W Yellow, 40</t>
        </is>
      </c>
      <c r="I509" s="4" t="n">
        <v>2</v>
      </c>
      <c r="J509" s="24" t="n">
        <v>530</v>
      </c>
      <c r="K509" s="24" t="n">
        <v>840</v>
      </c>
      <c r="L509" s="25">
        <f>I509*K509</f>
        <v/>
      </c>
      <c r="M509" s="25">
        <f>I509*J509</f>
        <v/>
      </c>
      <c r="N509" s="25">
        <f>L509-M509</f>
        <v/>
      </c>
      <c r="O509" s="26">
        <f>IFERROR(N509/L509,0)</f>
        <v/>
      </c>
      <c r="P509">
        <f>YEAR(A509)</f>
        <v/>
      </c>
      <c r="Q509">
        <f>TEXT(A509,"mmm")</f>
        <v/>
      </c>
      <c r="R509">
        <f>IF(B509&lt;25,"18-24",IF(B509&lt;35,"25-34",IF(B509&lt;45,"35-44","45+")))</f>
        <v/>
      </c>
    </row>
    <row r="510">
      <c r="A510" s="23" t="n">
        <v>44474</v>
      </c>
      <c r="B510" s="3" t="n">
        <v>40</v>
      </c>
      <c r="C510" s="3" t="inlineStr">
        <is>
          <t>M</t>
        </is>
      </c>
      <c r="D510" s="3" t="inlineStr">
        <is>
          <t>Germany</t>
        </is>
      </c>
      <c r="E510" s="3" t="inlineStr">
        <is>
          <t>Nordrhein-Westfalen</t>
        </is>
      </c>
      <c r="F510" s="3" t="inlineStr">
        <is>
          <t>Road Bikes</t>
        </is>
      </c>
      <c r="G510" s="3" t="inlineStr">
        <is>
          <t>Red</t>
        </is>
      </c>
      <c r="H510" s="3" t="inlineStr">
        <is>
          <t>Road-250 Red, 58</t>
        </is>
      </c>
      <c r="I510" s="4" t="n">
        <v>1</v>
      </c>
      <c r="J510" s="24" t="n">
        <v>580</v>
      </c>
      <c r="K510" s="24" t="n">
        <v>920</v>
      </c>
      <c r="L510" s="25">
        <f>I510*K510</f>
        <v/>
      </c>
      <c r="M510" s="25">
        <f>I510*J510</f>
        <v/>
      </c>
      <c r="N510" s="25">
        <f>L510-M510</f>
        <v/>
      </c>
      <c r="O510" s="26">
        <f>IFERROR(N510/L510,0)</f>
        <v/>
      </c>
      <c r="P510">
        <f>YEAR(A510)</f>
        <v/>
      </c>
      <c r="Q510">
        <f>TEXT(A510,"mmm")</f>
        <v/>
      </c>
      <c r="R510">
        <f>IF(B510&lt;25,"18-24",IF(B510&lt;35,"25-34",IF(B510&lt;45,"35-44","45+")))</f>
        <v/>
      </c>
    </row>
    <row r="511">
      <c r="A511" s="23" t="n">
        <v>44482</v>
      </c>
      <c r="B511" s="3" t="n">
        <v>40</v>
      </c>
      <c r="C511" s="3" t="inlineStr">
        <is>
          <t>M</t>
        </is>
      </c>
      <c r="D511" s="3" t="inlineStr">
        <is>
          <t>Australia</t>
        </is>
      </c>
      <c r="E511" s="3" t="inlineStr">
        <is>
          <t>Queensland</t>
        </is>
      </c>
      <c r="F511" s="3" t="inlineStr">
        <is>
          <t>Road Bikes</t>
        </is>
      </c>
      <c r="G511" s="3" t="inlineStr">
        <is>
          <t>Black</t>
        </is>
      </c>
      <c r="H511" s="3" t="inlineStr">
        <is>
          <t>Road-250 Black, 48</t>
        </is>
      </c>
      <c r="I511" s="4" t="n">
        <v>4</v>
      </c>
      <c r="J511" s="24" t="n">
        <v>580</v>
      </c>
      <c r="K511" s="24" t="n">
        <v>920</v>
      </c>
      <c r="L511" s="25">
        <f>I511*K511</f>
        <v/>
      </c>
      <c r="M511" s="25">
        <f>I511*J511</f>
        <v/>
      </c>
      <c r="N511" s="25">
        <f>L511-M511</f>
        <v/>
      </c>
      <c r="O511" s="26">
        <f>IFERROR(N511/L511,0)</f>
        <v/>
      </c>
      <c r="P511">
        <f>YEAR(A511)</f>
        <v/>
      </c>
      <c r="Q511">
        <f>TEXT(A511,"mmm")</f>
        <v/>
      </c>
      <c r="R511">
        <f>IF(B511&lt;25,"18-24",IF(B511&lt;35,"25-34",IF(B511&lt;45,"35-44","45+")))</f>
        <v/>
      </c>
    </row>
    <row r="512">
      <c r="A512" s="23" t="n">
        <v>44482</v>
      </c>
      <c r="B512" s="3" t="n">
        <v>40</v>
      </c>
      <c r="C512" s="3" t="inlineStr">
        <is>
          <t>F</t>
        </is>
      </c>
      <c r="D512" s="3" t="inlineStr">
        <is>
          <t>Australia</t>
        </is>
      </c>
      <c r="E512" s="3" t="inlineStr">
        <is>
          <t>New South Wales</t>
        </is>
      </c>
      <c r="F512" s="3" t="inlineStr">
        <is>
          <t>Road Bikes</t>
        </is>
      </c>
      <c r="G512" s="3" t="inlineStr">
        <is>
          <t>Black</t>
        </is>
      </c>
      <c r="H512" s="3" t="inlineStr">
        <is>
          <t>Road-250 Black, 52</t>
        </is>
      </c>
      <c r="I512" s="4" t="n">
        <v>3</v>
      </c>
      <c r="J512" s="24" t="n">
        <v>580</v>
      </c>
      <c r="K512" s="24" t="n">
        <v>920</v>
      </c>
      <c r="L512" s="25">
        <f>I512*K512</f>
        <v/>
      </c>
      <c r="M512" s="25">
        <f>I512*J512</f>
        <v/>
      </c>
      <c r="N512" s="25">
        <f>L512-M512</f>
        <v/>
      </c>
      <c r="O512" s="26">
        <f>IFERROR(N512/L512,0)</f>
        <v/>
      </c>
      <c r="P512">
        <f>YEAR(A512)</f>
        <v/>
      </c>
      <c r="Q512">
        <f>TEXT(A512,"mmm")</f>
        <v/>
      </c>
      <c r="R512">
        <f>IF(B512&lt;25,"18-24",IF(B512&lt;35,"25-34",IF(B512&lt;45,"35-44","45+")))</f>
        <v/>
      </c>
    </row>
    <row r="513">
      <c r="A513" s="23" t="n">
        <v>44495</v>
      </c>
      <c r="B513" s="3" t="n">
        <v>40</v>
      </c>
      <c r="C513" s="3" t="inlineStr">
        <is>
          <t>M</t>
        </is>
      </c>
      <c r="D513" s="3" t="inlineStr">
        <is>
          <t>Australia</t>
        </is>
      </c>
      <c r="E513" s="3" t="inlineStr">
        <is>
          <t>Victoria</t>
        </is>
      </c>
      <c r="F513" s="3" t="inlineStr">
        <is>
          <t>Mountain Bikes</t>
        </is>
      </c>
      <c r="G513" s="3" t="inlineStr">
        <is>
          <t>Black</t>
        </is>
      </c>
      <c r="H513" s="3" t="inlineStr">
        <is>
          <t>Mountain-200 Black, 42</t>
        </is>
      </c>
      <c r="I513" s="4" t="n">
        <v>3</v>
      </c>
      <c r="J513" s="24" t="n">
        <v>550</v>
      </c>
      <c r="K513" s="24" t="n">
        <v>850</v>
      </c>
      <c r="L513" s="25">
        <f>I513*K513</f>
        <v/>
      </c>
      <c r="M513" s="25">
        <f>I513*J513</f>
        <v/>
      </c>
      <c r="N513" s="25">
        <f>L513-M513</f>
        <v/>
      </c>
      <c r="O513" s="26">
        <f>IFERROR(N513/L513,0)</f>
        <v/>
      </c>
      <c r="P513">
        <f>YEAR(A513)</f>
        <v/>
      </c>
      <c r="Q513">
        <f>TEXT(A513,"mmm")</f>
        <v/>
      </c>
      <c r="R513">
        <f>IF(B513&lt;25,"18-24",IF(B513&lt;35,"25-34",IF(B513&lt;45,"35-44","45+")))</f>
        <v/>
      </c>
    </row>
    <row r="514">
      <c r="A514" s="23" t="n">
        <v>44498</v>
      </c>
      <c r="B514" s="3" t="n">
        <v>40</v>
      </c>
      <c r="C514" s="3" t="inlineStr">
        <is>
          <t>F</t>
        </is>
      </c>
      <c r="D514" s="3" t="inlineStr">
        <is>
          <t>Germany</t>
        </is>
      </c>
      <c r="E514" s="3" t="inlineStr">
        <is>
          <t>Hamburg</t>
        </is>
      </c>
      <c r="F514" s="3" t="inlineStr">
        <is>
          <t>Road Bikes</t>
        </is>
      </c>
      <c r="G514" s="3" t="inlineStr">
        <is>
          <t>Red</t>
        </is>
      </c>
      <c r="H514" s="3" t="inlineStr">
        <is>
          <t>Road-650 Red, 62</t>
        </is>
      </c>
      <c r="I514" s="4" t="n">
        <v>1</v>
      </c>
      <c r="J514" s="24" t="n">
        <v>620</v>
      </c>
      <c r="K514" s="24" t="n">
        <v>980</v>
      </c>
      <c r="L514" s="25">
        <f>I514*K514</f>
        <v/>
      </c>
      <c r="M514" s="25">
        <f>I514*J514</f>
        <v/>
      </c>
      <c r="N514" s="25">
        <f>L514-M514</f>
        <v/>
      </c>
      <c r="O514" s="26">
        <f>IFERROR(N514/L514,0)</f>
        <v/>
      </c>
      <c r="P514">
        <f>YEAR(A514)</f>
        <v/>
      </c>
      <c r="Q514">
        <f>TEXT(A514,"mmm")</f>
        <v/>
      </c>
      <c r="R514">
        <f>IF(B514&lt;25,"18-24",IF(B514&lt;35,"25-34",IF(B514&lt;45,"35-44","45+")))</f>
        <v/>
      </c>
    </row>
    <row r="515">
      <c r="A515" s="23" t="n">
        <v>44506</v>
      </c>
      <c r="B515" s="3" t="n">
        <v>40</v>
      </c>
      <c r="C515" s="3" t="inlineStr">
        <is>
          <t>F</t>
        </is>
      </c>
      <c r="D515" s="3" t="inlineStr">
        <is>
          <t>Australia</t>
        </is>
      </c>
      <c r="E515" s="3" t="inlineStr">
        <is>
          <t>South Australia</t>
        </is>
      </c>
      <c r="F515" s="3" t="inlineStr">
        <is>
          <t>Mountain Bikes</t>
        </is>
      </c>
      <c r="G515" s="3" t="inlineStr">
        <is>
          <t>Silver</t>
        </is>
      </c>
      <c r="H515" s="3" t="inlineStr">
        <is>
          <t>Mountain-200 Silver, 42</t>
        </is>
      </c>
      <c r="I515" s="4" t="n">
        <v>2</v>
      </c>
      <c r="J515" s="24" t="n">
        <v>550</v>
      </c>
      <c r="K515" s="24" t="n">
        <v>850</v>
      </c>
      <c r="L515" s="25">
        <f>I515*K515</f>
        <v/>
      </c>
      <c r="M515" s="25">
        <f>I515*J515</f>
        <v/>
      </c>
      <c r="N515" s="25">
        <f>L515-M515</f>
        <v/>
      </c>
      <c r="O515" s="26">
        <f>IFERROR(N515/L515,0)</f>
        <v/>
      </c>
      <c r="P515">
        <f>YEAR(A515)</f>
        <v/>
      </c>
      <c r="Q515">
        <f>TEXT(A515,"mmm")</f>
        <v/>
      </c>
      <c r="R515">
        <f>IF(B515&lt;25,"18-24",IF(B515&lt;35,"25-34",IF(B515&lt;45,"35-44","45+")))</f>
        <v/>
      </c>
    </row>
    <row r="516">
      <c r="A516" s="23" t="n">
        <v>44506</v>
      </c>
      <c r="B516" s="3" t="n">
        <v>40</v>
      </c>
      <c r="C516" s="3" t="inlineStr">
        <is>
          <t>F</t>
        </is>
      </c>
      <c r="D516" s="3" t="inlineStr">
        <is>
          <t>Australia</t>
        </is>
      </c>
      <c r="E516" s="3" t="inlineStr">
        <is>
          <t>New South Wales</t>
        </is>
      </c>
      <c r="F516" s="3" t="inlineStr">
        <is>
          <t>Road Bikes</t>
        </is>
      </c>
      <c r="G516" s="3" t="inlineStr">
        <is>
          <t>Black</t>
        </is>
      </c>
      <c r="H516" s="3" t="inlineStr">
        <is>
          <t>Road-250 Black, 52</t>
        </is>
      </c>
      <c r="I516" s="4" t="n">
        <v>1</v>
      </c>
      <c r="J516" s="24" t="n">
        <v>580</v>
      </c>
      <c r="K516" s="24" t="n">
        <v>920</v>
      </c>
      <c r="L516" s="25">
        <f>I516*K516</f>
        <v/>
      </c>
      <c r="M516" s="25">
        <f>I516*J516</f>
        <v/>
      </c>
      <c r="N516" s="25">
        <f>L516-M516</f>
        <v/>
      </c>
      <c r="O516" s="26">
        <f>IFERROR(N516/L516,0)</f>
        <v/>
      </c>
      <c r="P516">
        <f>YEAR(A516)</f>
        <v/>
      </c>
      <c r="Q516">
        <f>TEXT(A516,"mmm")</f>
        <v/>
      </c>
      <c r="R516">
        <f>IF(B516&lt;25,"18-24",IF(B516&lt;35,"25-34",IF(B516&lt;45,"35-44","45+")))</f>
        <v/>
      </c>
    </row>
    <row r="517">
      <c r="A517" s="23" t="n">
        <v>44508</v>
      </c>
      <c r="B517" s="3" t="n">
        <v>40</v>
      </c>
      <c r="C517" s="3" t="inlineStr">
        <is>
          <t>M</t>
        </is>
      </c>
      <c r="D517" s="3" t="inlineStr">
        <is>
          <t>Australia</t>
        </is>
      </c>
      <c r="E517" s="3" t="inlineStr">
        <is>
          <t>New South Wales</t>
        </is>
      </c>
      <c r="F517" s="3" t="inlineStr">
        <is>
          <t>Road Bikes</t>
        </is>
      </c>
      <c r="G517" s="3" t="inlineStr">
        <is>
          <t>Red</t>
        </is>
      </c>
      <c r="H517" s="3" t="inlineStr">
        <is>
          <t>Road-250 Red, 58</t>
        </is>
      </c>
      <c r="I517" s="4" t="n">
        <v>1</v>
      </c>
      <c r="J517" s="24" t="n">
        <v>580</v>
      </c>
      <c r="K517" s="24" t="n">
        <v>920</v>
      </c>
      <c r="L517" s="25">
        <f>I517*K517</f>
        <v/>
      </c>
      <c r="M517" s="25">
        <f>I517*J517</f>
        <v/>
      </c>
      <c r="N517" s="25">
        <f>L517-M517</f>
        <v/>
      </c>
      <c r="O517" s="26">
        <f>IFERROR(N517/L517,0)</f>
        <v/>
      </c>
      <c r="P517">
        <f>YEAR(A517)</f>
        <v/>
      </c>
      <c r="Q517">
        <f>TEXT(A517,"mmm")</f>
        <v/>
      </c>
      <c r="R517">
        <f>IF(B517&lt;25,"18-24",IF(B517&lt;35,"25-34",IF(B517&lt;45,"35-44","45+")))</f>
        <v/>
      </c>
    </row>
    <row r="518">
      <c r="A518" s="23" t="n">
        <v>44515</v>
      </c>
      <c r="B518" s="3" t="n">
        <v>40</v>
      </c>
      <c r="C518" s="3" t="inlineStr">
        <is>
          <t>M</t>
        </is>
      </c>
      <c r="D518" s="3" t="inlineStr">
        <is>
          <t>United Kingdom</t>
        </is>
      </c>
      <c r="E518" s="3" t="inlineStr">
        <is>
          <t>England</t>
        </is>
      </c>
      <c r="F518" s="3" t="inlineStr">
        <is>
          <t>Road Bikes</t>
        </is>
      </c>
      <c r="G518" s="3" t="inlineStr">
        <is>
          <t>Black</t>
        </is>
      </c>
      <c r="H518" s="3" t="inlineStr">
        <is>
          <t>Road-750 Black, 44</t>
        </is>
      </c>
      <c r="I518" s="4" t="n">
        <v>1</v>
      </c>
      <c r="J518" s="24" t="n">
        <v>700</v>
      </c>
      <c r="K518" s="24" t="n">
        <v>1100</v>
      </c>
      <c r="L518" s="25">
        <f>I518*K518</f>
        <v/>
      </c>
      <c r="M518" s="25">
        <f>I518*J518</f>
        <v/>
      </c>
      <c r="N518" s="25">
        <f>L518-M518</f>
        <v/>
      </c>
      <c r="O518" s="26">
        <f>IFERROR(N518/L518,0)</f>
        <v/>
      </c>
      <c r="P518">
        <f>YEAR(A518)</f>
        <v/>
      </c>
      <c r="Q518">
        <f>TEXT(A518,"mmm")</f>
        <v/>
      </c>
      <c r="R518">
        <f>IF(B518&lt;25,"18-24",IF(B518&lt;35,"25-34",IF(B518&lt;45,"35-44","45+")))</f>
        <v/>
      </c>
    </row>
    <row r="519">
      <c r="A519" s="23" t="n">
        <v>44516</v>
      </c>
      <c r="B519" s="3" t="n">
        <v>40</v>
      </c>
      <c r="C519" s="3" t="inlineStr">
        <is>
          <t>F</t>
        </is>
      </c>
      <c r="D519" s="3" t="inlineStr">
        <is>
          <t>Germany</t>
        </is>
      </c>
      <c r="E519" s="3" t="inlineStr">
        <is>
          <t>Hamburg</t>
        </is>
      </c>
      <c r="F519" s="3" t="inlineStr">
        <is>
          <t>Mountain Bikes</t>
        </is>
      </c>
      <c r="G519" s="3" t="inlineStr">
        <is>
          <t>Black</t>
        </is>
      </c>
      <c r="H519" s="3" t="inlineStr">
        <is>
          <t>Mountain-200 Black, 38</t>
        </is>
      </c>
      <c r="I519" s="4" t="n">
        <v>3</v>
      </c>
      <c r="J519" s="24" t="n">
        <v>550</v>
      </c>
      <c r="K519" s="24" t="n">
        <v>850</v>
      </c>
      <c r="L519" s="25">
        <f>I519*K519</f>
        <v/>
      </c>
      <c r="M519" s="25">
        <f>I519*J519</f>
        <v/>
      </c>
      <c r="N519" s="25">
        <f>L519-M519</f>
        <v/>
      </c>
      <c r="O519" s="26">
        <f>IFERROR(N519/L519,0)</f>
        <v/>
      </c>
      <c r="P519">
        <f>YEAR(A519)</f>
        <v/>
      </c>
      <c r="Q519">
        <f>TEXT(A519,"mmm")</f>
        <v/>
      </c>
      <c r="R519">
        <f>IF(B519&lt;25,"18-24",IF(B519&lt;35,"25-34",IF(B519&lt;45,"35-44","45+")))</f>
        <v/>
      </c>
    </row>
    <row r="520">
      <c r="A520" s="23" t="n">
        <v>44520</v>
      </c>
      <c r="B520" s="3" t="n">
        <v>40</v>
      </c>
      <c r="C520" s="3" t="inlineStr">
        <is>
          <t>F</t>
        </is>
      </c>
      <c r="D520" s="3" t="inlineStr">
        <is>
          <t>Germany</t>
        </is>
      </c>
      <c r="E520" s="3" t="inlineStr">
        <is>
          <t>Bayern</t>
        </is>
      </c>
      <c r="F520" s="3" t="inlineStr">
        <is>
          <t>Mountain Bikes</t>
        </is>
      </c>
      <c r="G520" s="3" t="inlineStr">
        <is>
          <t>Silver</t>
        </is>
      </c>
      <c r="H520" s="3" t="inlineStr">
        <is>
          <t>Mountain-200 Silver, 42</t>
        </is>
      </c>
      <c r="I520" s="4" t="n">
        <v>4</v>
      </c>
      <c r="J520" s="24" t="n">
        <v>550</v>
      </c>
      <c r="K520" s="24" t="n">
        <v>850</v>
      </c>
      <c r="L520" s="25">
        <f>I520*K520</f>
        <v/>
      </c>
      <c r="M520" s="25">
        <f>I520*J520</f>
        <v/>
      </c>
      <c r="N520" s="25">
        <f>L520-M520</f>
        <v/>
      </c>
      <c r="O520" s="26">
        <f>IFERROR(N520/L520,0)</f>
        <v/>
      </c>
      <c r="P520">
        <f>YEAR(A520)</f>
        <v/>
      </c>
      <c r="Q520">
        <f>TEXT(A520,"mmm")</f>
        <v/>
      </c>
      <c r="R520">
        <f>IF(B520&lt;25,"18-24",IF(B520&lt;35,"25-34",IF(B520&lt;45,"35-44","45+")))</f>
        <v/>
      </c>
    </row>
    <row r="521">
      <c r="A521" s="23" t="n">
        <v>44520</v>
      </c>
      <c r="B521" s="3" t="n">
        <v>40</v>
      </c>
      <c r="C521" s="3" t="inlineStr">
        <is>
          <t>F</t>
        </is>
      </c>
      <c r="D521" s="3" t="inlineStr">
        <is>
          <t>Australia</t>
        </is>
      </c>
      <c r="E521" s="3" t="inlineStr">
        <is>
          <t>Queensland</t>
        </is>
      </c>
      <c r="F521" s="3" t="inlineStr">
        <is>
          <t>Road Bikes</t>
        </is>
      </c>
      <c r="G521" s="3" t="inlineStr">
        <is>
          <t>Yellow</t>
        </is>
      </c>
      <c r="H521" s="3" t="inlineStr">
        <is>
          <t>Road-350-W Yellow, 40</t>
        </is>
      </c>
      <c r="I521" s="4" t="n">
        <v>4</v>
      </c>
      <c r="J521" s="24" t="n">
        <v>530</v>
      </c>
      <c r="K521" s="24" t="n">
        <v>840</v>
      </c>
      <c r="L521" s="25">
        <f>I521*K521</f>
        <v/>
      </c>
      <c r="M521" s="25">
        <f>I521*J521</f>
        <v/>
      </c>
      <c r="N521" s="25">
        <f>L521-M521</f>
        <v/>
      </c>
      <c r="O521" s="26">
        <f>IFERROR(N521/L521,0)</f>
        <v/>
      </c>
      <c r="P521">
        <f>YEAR(A521)</f>
        <v/>
      </c>
      <c r="Q521">
        <f>TEXT(A521,"mmm")</f>
        <v/>
      </c>
      <c r="R521">
        <f>IF(B521&lt;25,"18-24",IF(B521&lt;35,"25-34",IF(B521&lt;45,"35-44","45+")))</f>
        <v/>
      </c>
    </row>
    <row r="522">
      <c r="A522" s="23" t="n">
        <v>44528</v>
      </c>
      <c r="B522" s="3" t="n">
        <v>40</v>
      </c>
      <c r="C522" s="3" t="inlineStr">
        <is>
          <t>F</t>
        </is>
      </c>
      <c r="D522" s="3" t="inlineStr">
        <is>
          <t>Australia</t>
        </is>
      </c>
      <c r="E522" s="3" t="inlineStr">
        <is>
          <t>Queensland</t>
        </is>
      </c>
      <c r="F522" s="3" t="inlineStr">
        <is>
          <t>Mountain Bikes</t>
        </is>
      </c>
      <c r="G522" s="3" t="inlineStr">
        <is>
          <t>Black</t>
        </is>
      </c>
      <c r="H522" s="3" t="inlineStr">
        <is>
          <t>Mountain-200 Black, 38</t>
        </is>
      </c>
      <c r="I522" s="4" t="n">
        <v>2</v>
      </c>
      <c r="J522" s="24" t="n">
        <v>550</v>
      </c>
      <c r="K522" s="24" t="n">
        <v>850</v>
      </c>
      <c r="L522" s="25">
        <f>I522*K522</f>
        <v/>
      </c>
      <c r="M522" s="25">
        <f>I522*J522</f>
        <v/>
      </c>
      <c r="N522" s="25">
        <f>L522-M522</f>
        <v/>
      </c>
      <c r="O522" s="26">
        <f>IFERROR(N522/L522,0)</f>
        <v/>
      </c>
      <c r="P522">
        <f>YEAR(A522)</f>
        <v/>
      </c>
      <c r="Q522">
        <f>TEXT(A522,"mmm")</f>
        <v/>
      </c>
      <c r="R522">
        <f>IF(B522&lt;25,"18-24",IF(B522&lt;35,"25-34",IF(B522&lt;45,"35-44","45+")))</f>
        <v/>
      </c>
    </row>
    <row r="523">
      <c r="A523" s="23" t="n">
        <v>44538</v>
      </c>
      <c r="B523" s="3" t="n">
        <v>40</v>
      </c>
      <c r="C523" s="3" t="inlineStr">
        <is>
          <t>M</t>
        </is>
      </c>
      <c r="D523" s="3" t="inlineStr">
        <is>
          <t>Australia</t>
        </is>
      </c>
      <c r="E523" s="3" t="inlineStr">
        <is>
          <t>New South Wales</t>
        </is>
      </c>
      <c r="F523" s="3" t="inlineStr">
        <is>
          <t>Road Bikes</t>
        </is>
      </c>
      <c r="G523" s="3" t="inlineStr">
        <is>
          <t>Red</t>
        </is>
      </c>
      <c r="H523" s="3" t="inlineStr">
        <is>
          <t>Road-250 Red, 58</t>
        </is>
      </c>
      <c r="I523" s="4" t="n">
        <v>4</v>
      </c>
      <c r="J523" s="24" t="n">
        <v>580</v>
      </c>
      <c r="K523" s="24" t="n">
        <v>920</v>
      </c>
      <c r="L523" s="25">
        <f>I523*K523</f>
        <v/>
      </c>
      <c r="M523" s="25">
        <f>I523*J523</f>
        <v/>
      </c>
      <c r="N523" s="25">
        <f>L523-M523</f>
        <v/>
      </c>
      <c r="O523" s="26">
        <f>IFERROR(N523/L523,0)</f>
        <v/>
      </c>
      <c r="P523">
        <f>YEAR(A523)</f>
        <v/>
      </c>
      <c r="Q523">
        <f>TEXT(A523,"mmm")</f>
        <v/>
      </c>
      <c r="R523">
        <f>IF(B523&lt;25,"18-24",IF(B523&lt;35,"25-34",IF(B523&lt;45,"35-44","45+")))</f>
        <v/>
      </c>
    </row>
    <row r="524">
      <c r="A524" s="23" t="n">
        <v>44540</v>
      </c>
      <c r="B524" s="3" t="n">
        <v>40</v>
      </c>
      <c r="C524" s="3" t="inlineStr">
        <is>
          <t>M</t>
        </is>
      </c>
      <c r="D524" s="3" t="inlineStr">
        <is>
          <t>Australia</t>
        </is>
      </c>
      <c r="E524" s="3" t="inlineStr">
        <is>
          <t>New South Wales</t>
        </is>
      </c>
      <c r="F524" s="3" t="inlineStr">
        <is>
          <t>Mountain Bikes</t>
        </is>
      </c>
      <c r="G524" s="3" t="inlineStr">
        <is>
          <t>Black</t>
        </is>
      </c>
      <c r="H524" s="3" t="inlineStr">
        <is>
          <t>Mountain-200 Black, 42</t>
        </is>
      </c>
      <c r="I524" s="4" t="n">
        <v>2</v>
      </c>
      <c r="J524" s="24" t="n">
        <v>550</v>
      </c>
      <c r="K524" s="24" t="n">
        <v>850</v>
      </c>
      <c r="L524" s="25">
        <f>I524*K524</f>
        <v/>
      </c>
      <c r="M524" s="25">
        <f>I524*J524</f>
        <v/>
      </c>
      <c r="N524" s="25">
        <f>L524-M524</f>
        <v/>
      </c>
      <c r="O524" s="26">
        <f>IFERROR(N524/L524,0)</f>
        <v/>
      </c>
      <c r="P524">
        <f>YEAR(A524)</f>
        <v/>
      </c>
      <c r="Q524">
        <f>TEXT(A524,"mmm")</f>
        <v/>
      </c>
      <c r="R524">
        <f>IF(B524&lt;25,"18-24",IF(B524&lt;35,"25-34",IF(B524&lt;45,"35-44","45+")))</f>
        <v/>
      </c>
    </row>
    <row r="525">
      <c r="A525" s="23" t="n">
        <v>44543</v>
      </c>
      <c r="B525" s="3" t="n">
        <v>40</v>
      </c>
      <c r="C525" s="3" t="inlineStr">
        <is>
          <t>F</t>
        </is>
      </c>
      <c r="D525" s="3" t="inlineStr">
        <is>
          <t>United States</t>
        </is>
      </c>
      <c r="E525" s="3" t="inlineStr">
        <is>
          <t>California</t>
        </is>
      </c>
      <c r="F525" s="3" t="inlineStr">
        <is>
          <t>Mountain Bikes</t>
        </is>
      </c>
      <c r="G525" s="3" t="inlineStr">
        <is>
          <t>Silver</t>
        </is>
      </c>
      <c r="H525" s="3" t="inlineStr">
        <is>
          <t>Mountain-500 Silver, 40</t>
        </is>
      </c>
      <c r="I525" s="4" t="n">
        <v>1</v>
      </c>
      <c r="J525" s="24" t="n">
        <v>480</v>
      </c>
      <c r="K525" s="24" t="n">
        <v>760</v>
      </c>
      <c r="L525" s="25">
        <f>I525*K525</f>
        <v/>
      </c>
      <c r="M525" s="25">
        <f>I525*J525</f>
        <v/>
      </c>
      <c r="N525" s="25">
        <f>L525-M525</f>
        <v/>
      </c>
      <c r="O525" s="26">
        <f>IFERROR(N525/L525,0)</f>
        <v/>
      </c>
      <c r="P525">
        <f>YEAR(A525)</f>
        <v/>
      </c>
      <c r="Q525">
        <f>TEXT(A525,"mmm")</f>
        <v/>
      </c>
      <c r="R525">
        <f>IF(B525&lt;25,"18-24",IF(B525&lt;35,"25-34",IF(B525&lt;45,"35-44","45+")))</f>
        <v/>
      </c>
    </row>
    <row r="526">
      <c r="A526" s="23" t="n">
        <v>44544</v>
      </c>
      <c r="B526" s="3" t="n">
        <v>40</v>
      </c>
      <c r="C526" s="3" t="inlineStr">
        <is>
          <t>F</t>
        </is>
      </c>
      <c r="D526" s="3" t="inlineStr">
        <is>
          <t>Germany</t>
        </is>
      </c>
      <c r="E526" s="3" t="inlineStr">
        <is>
          <t>Hessen</t>
        </is>
      </c>
      <c r="F526" s="3" t="inlineStr">
        <is>
          <t>Road Bikes</t>
        </is>
      </c>
      <c r="G526" s="3" t="inlineStr">
        <is>
          <t>Red</t>
        </is>
      </c>
      <c r="H526" s="3" t="inlineStr">
        <is>
          <t>Road-150 Red, 44</t>
        </is>
      </c>
      <c r="I526" s="4" t="n">
        <v>1</v>
      </c>
      <c r="J526" s="24" t="n">
        <v>900</v>
      </c>
      <c r="K526" s="24" t="n">
        <v>1400</v>
      </c>
      <c r="L526" s="25">
        <f>I526*K526</f>
        <v/>
      </c>
      <c r="M526" s="25">
        <f>I526*J526</f>
        <v/>
      </c>
      <c r="N526" s="25">
        <f>L526-M526</f>
        <v/>
      </c>
      <c r="O526" s="26">
        <f>IFERROR(N526/L526,0)</f>
        <v/>
      </c>
      <c r="P526">
        <f>YEAR(A526)</f>
        <v/>
      </c>
      <c r="Q526">
        <f>TEXT(A526,"mmm")</f>
        <v/>
      </c>
      <c r="R526">
        <f>IF(B526&lt;25,"18-24",IF(B526&lt;35,"25-34",IF(B526&lt;45,"35-44","45+")))</f>
        <v/>
      </c>
    </row>
    <row r="527">
      <c r="A527" s="23" t="n">
        <v>44547</v>
      </c>
      <c r="B527" s="3" t="n">
        <v>40</v>
      </c>
      <c r="C527" s="3" t="inlineStr">
        <is>
          <t>F</t>
        </is>
      </c>
      <c r="D527" s="3" t="inlineStr">
        <is>
          <t>United States</t>
        </is>
      </c>
      <c r="E527" s="3" t="inlineStr">
        <is>
          <t>California</t>
        </is>
      </c>
      <c r="F527" s="3" t="inlineStr">
        <is>
          <t>Road Bikes</t>
        </is>
      </c>
      <c r="G527" s="3" t="inlineStr">
        <is>
          <t>Black</t>
        </is>
      </c>
      <c r="H527" s="3" t="inlineStr">
        <is>
          <t>Road-250 Black, 58</t>
        </is>
      </c>
      <c r="I527" s="4" t="n">
        <v>1</v>
      </c>
      <c r="J527" s="24" t="n">
        <v>580</v>
      </c>
      <c r="K527" s="24" t="n">
        <v>920</v>
      </c>
      <c r="L527" s="25">
        <f>I527*K527</f>
        <v/>
      </c>
      <c r="M527" s="25">
        <f>I527*J527</f>
        <v/>
      </c>
      <c r="N527" s="25">
        <f>L527-M527</f>
        <v/>
      </c>
      <c r="O527" s="26">
        <f>IFERROR(N527/L527,0)</f>
        <v/>
      </c>
      <c r="P527">
        <f>YEAR(A527)</f>
        <v/>
      </c>
      <c r="Q527">
        <f>TEXT(A527,"mmm")</f>
        <v/>
      </c>
      <c r="R527">
        <f>IF(B527&lt;25,"18-24",IF(B527&lt;35,"25-34",IF(B527&lt;45,"35-44","45+")))</f>
        <v/>
      </c>
    </row>
    <row r="528">
      <c r="A528" s="23" t="n">
        <v>44552</v>
      </c>
      <c r="B528" s="3" t="n">
        <v>40</v>
      </c>
      <c r="C528" s="3" t="inlineStr">
        <is>
          <t>F</t>
        </is>
      </c>
      <c r="D528" s="3" t="inlineStr">
        <is>
          <t>United Kingdom</t>
        </is>
      </c>
      <c r="E528" s="3" t="inlineStr">
        <is>
          <t>England</t>
        </is>
      </c>
      <c r="F528" s="3" t="inlineStr">
        <is>
          <t>Road Bikes</t>
        </is>
      </c>
      <c r="G528" s="3" t="inlineStr">
        <is>
          <t>Black</t>
        </is>
      </c>
      <c r="H528" s="3" t="inlineStr">
        <is>
          <t>Road-750 Black, 58</t>
        </is>
      </c>
      <c r="I528" s="4" t="n">
        <v>3</v>
      </c>
      <c r="J528" s="24" t="n">
        <v>700</v>
      </c>
      <c r="K528" s="24" t="n">
        <v>1100</v>
      </c>
      <c r="L528" s="25">
        <f>I528*K528</f>
        <v/>
      </c>
      <c r="M528" s="25">
        <f>I528*J528</f>
        <v/>
      </c>
      <c r="N528" s="25">
        <f>L528-M528</f>
        <v/>
      </c>
      <c r="O528" s="26">
        <f>IFERROR(N528/L528,0)</f>
        <v/>
      </c>
      <c r="P528">
        <f>YEAR(A528)</f>
        <v/>
      </c>
      <c r="Q528">
        <f>TEXT(A528,"mmm")</f>
        <v/>
      </c>
      <c r="R528">
        <f>IF(B528&lt;25,"18-24",IF(B528&lt;35,"25-34",IF(B528&lt;45,"35-44","45+")))</f>
        <v/>
      </c>
    </row>
    <row r="529">
      <c r="A529" s="23" t="n">
        <v>44554</v>
      </c>
      <c r="B529" s="3" t="n">
        <v>40</v>
      </c>
      <c r="C529" s="3" t="inlineStr">
        <is>
          <t>F</t>
        </is>
      </c>
      <c r="D529" s="3" t="inlineStr">
        <is>
          <t>Germany</t>
        </is>
      </c>
      <c r="E529" s="3" t="inlineStr">
        <is>
          <t>Hessen</t>
        </is>
      </c>
      <c r="F529" s="3" t="inlineStr">
        <is>
          <t>Mountain Bikes</t>
        </is>
      </c>
      <c r="G529" s="3" t="inlineStr">
        <is>
          <t>Black</t>
        </is>
      </c>
      <c r="H529" s="3" t="inlineStr">
        <is>
          <t>Mountain-200 Black, 46</t>
        </is>
      </c>
      <c r="I529" s="4" t="n">
        <v>1</v>
      </c>
      <c r="J529" s="24" t="n">
        <v>550</v>
      </c>
      <c r="K529" s="24" t="n">
        <v>850</v>
      </c>
      <c r="L529" s="25">
        <f>I529*K529</f>
        <v/>
      </c>
      <c r="M529" s="25">
        <f>I529*J529</f>
        <v/>
      </c>
      <c r="N529" s="25">
        <f>L529-M529</f>
        <v/>
      </c>
      <c r="O529" s="26">
        <f>IFERROR(N529/L529,0)</f>
        <v/>
      </c>
      <c r="P529">
        <f>YEAR(A529)</f>
        <v/>
      </c>
      <c r="Q529">
        <f>TEXT(A529,"mmm")</f>
        <v/>
      </c>
      <c r="R529">
        <f>IF(B529&lt;25,"18-24",IF(B529&lt;35,"25-34",IF(B529&lt;45,"35-44","45+")))</f>
        <v/>
      </c>
    </row>
    <row r="530">
      <c r="A530" s="23" t="n">
        <v>44476</v>
      </c>
      <c r="B530" s="3" t="n">
        <v>41</v>
      </c>
      <c r="C530" s="3" t="inlineStr">
        <is>
          <t>M</t>
        </is>
      </c>
      <c r="D530" s="3" t="inlineStr">
        <is>
          <t>Australia</t>
        </is>
      </c>
      <c r="E530" s="3" t="inlineStr">
        <is>
          <t>Queensland</t>
        </is>
      </c>
      <c r="F530" s="3" t="inlineStr">
        <is>
          <t>Road Bikes</t>
        </is>
      </c>
      <c r="G530" s="3" t="inlineStr">
        <is>
          <t>Black</t>
        </is>
      </c>
      <c r="H530" s="3" t="inlineStr">
        <is>
          <t>Road-250 Black, 48</t>
        </is>
      </c>
      <c r="I530" s="4" t="n">
        <v>1</v>
      </c>
      <c r="J530" s="24" t="n">
        <v>580</v>
      </c>
      <c r="K530" s="24" t="n">
        <v>920</v>
      </c>
      <c r="L530" s="25">
        <f>I530*K530</f>
        <v/>
      </c>
      <c r="M530" s="25">
        <f>I530*J530</f>
        <v/>
      </c>
      <c r="N530" s="25">
        <f>L530-M530</f>
        <v/>
      </c>
      <c r="O530" s="26">
        <f>IFERROR(N530/L530,0)</f>
        <v/>
      </c>
      <c r="P530">
        <f>YEAR(A530)</f>
        <v/>
      </c>
      <c r="Q530">
        <f>TEXT(A530,"mmm")</f>
        <v/>
      </c>
      <c r="R530">
        <f>IF(B530&lt;25,"18-24",IF(B530&lt;35,"25-34",IF(B530&lt;45,"35-44","45+")))</f>
        <v/>
      </c>
    </row>
    <row r="531">
      <c r="A531" s="23" t="n">
        <v>44477</v>
      </c>
      <c r="B531" s="3" t="n">
        <v>41</v>
      </c>
      <c r="C531" s="3" t="inlineStr">
        <is>
          <t>F</t>
        </is>
      </c>
      <c r="D531" s="3" t="inlineStr">
        <is>
          <t>Australia</t>
        </is>
      </c>
      <c r="E531" s="3" t="inlineStr">
        <is>
          <t>New South Wales</t>
        </is>
      </c>
      <c r="F531" s="3" t="inlineStr">
        <is>
          <t>Mountain Bikes</t>
        </is>
      </c>
      <c r="G531" s="3" t="inlineStr">
        <is>
          <t>Silver</t>
        </is>
      </c>
      <c r="H531" s="3" t="inlineStr">
        <is>
          <t>Mountain-400-W Silver, 38</t>
        </is>
      </c>
      <c r="I531" s="4" t="n">
        <v>4</v>
      </c>
      <c r="J531" s="24" t="n">
        <v>450</v>
      </c>
      <c r="K531" s="24" t="n">
        <v>720</v>
      </c>
      <c r="L531" s="25">
        <f>I531*K531</f>
        <v/>
      </c>
      <c r="M531" s="25">
        <f>I531*J531</f>
        <v/>
      </c>
      <c r="N531" s="25">
        <f>L531-M531</f>
        <v/>
      </c>
      <c r="O531" s="26">
        <f>IFERROR(N531/L531,0)</f>
        <v/>
      </c>
      <c r="P531">
        <f>YEAR(A531)</f>
        <v/>
      </c>
      <c r="Q531">
        <f>TEXT(A531,"mmm")</f>
        <v/>
      </c>
      <c r="R531">
        <f>IF(B531&lt;25,"18-24",IF(B531&lt;35,"25-34",IF(B531&lt;45,"35-44","45+")))</f>
        <v/>
      </c>
    </row>
    <row r="532">
      <c r="A532" s="23" t="n">
        <v>44477</v>
      </c>
      <c r="B532" s="3" t="n">
        <v>41</v>
      </c>
      <c r="C532" s="3" t="inlineStr">
        <is>
          <t>M</t>
        </is>
      </c>
      <c r="D532" s="3" t="inlineStr">
        <is>
          <t>Australia</t>
        </is>
      </c>
      <c r="E532" s="3" t="inlineStr">
        <is>
          <t>South Australia</t>
        </is>
      </c>
      <c r="F532" s="3" t="inlineStr">
        <is>
          <t>Road Bikes</t>
        </is>
      </c>
      <c r="G532" s="3" t="inlineStr">
        <is>
          <t>Black</t>
        </is>
      </c>
      <c r="H532" s="3" t="inlineStr">
        <is>
          <t>Road-250 Black, 48</t>
        </is>
      </c>
      <c r="I532" s="4" t="n">
        <v>3</v>
      </c>
      <c r="J532" s="24" t="n">
        <v>580</v>
      </c>
      <c r="K532" s="24" t="n">
        <v>920</v>
      </c>
      <c r="L532" s="25">
        <f>I532*K532</f>
        <v/>
      </c>
      <c r="M532" s="25">
        <f>I532*J532</f>
        <v/>
      </c>
      <c r="N532" s="25">
        <f>L532-M532</f>
        <v/>
      </c>
      <c r="O532" s="26">
        <f>IFERROR(N532/L532,0)</f>
        <v/>
      </c>
      <c r="P532">
        <f>YEAR(A532)</f>
        <v/>
      </c>
      <c r="Q532">
        <f>TEXT(A532,"mmm")</f>
        <v/>
      </c>
      <c r="R532">
        <f>IF(B532&lt;25,"18-24",IF(B532&lt;35,"25-34",IF(B532&lt;45,"35-44","45+")))</f>
        <v/>
      </c>
    </row>
    <row r="533">
      <c r="A533" s="23" t="n">
        <v>44481</v>
      </c>
      <c r="B533" s="3" t="n">
        <v>41</v>
      </c>
      <c r="C533" s="3" t="inlineStr">
        <is>
          <t>M</t>
        </is>
      </c>
      <c r="D533" s="3" t="inlineStr">
        <is>
          <t>Australia</t>
        </is>
      </c>
      <c r="E533" s="3" t="inlineStr">
        <is>
          <t>New South Wales</t>
        </is>
      </c>
      <c r="F533" s="3" t="inlineStr">
        <is>
          <t>Road Bikes</t>
        </is>
      </c>
      <c r="G533" s="3" t="inlineStr">
        <is>
          <t>Black</t>
        </is>
      </c>
      <c r="H533" s="3" t="inlineStr">
        <is>
          <t>Road-750 Black, 48</t>
        </is>
      </c>
      <c r="I533" s="4" t="n">
        <v>4</v>
      </c>
      <c r="J533" s="24" t="n">
        <v>700</v>
      </c>
      <c r="K533" s="24" t="n">
        <v>1100</v>
      </c>
      <c r="L533" s="25">
        <f>I533*K533</f>
        <v/>
      </c>
      <c r="M533" s="25">
        <f>I533*J533</f>
        <v/>
      </c>
      <c r="N533" s="25">
        <f>L533-M533</f>
        <v/>
      </c>
      <c r="O533" s="26">
        <f>IFERROR(N533/L533,0)</f>
        <v/>
      </c>
      <c r="P533">
        <f>YEAR(A533)</f>
        <v/>
      </c>
      <c r="Q533">
        <f>TEXT(A533,"mmm")</f>
        <v/>
      </c>
      <c r="R533">
        <f>IF(B533&lt;25,"18-24",IF(B533&lt;35,"25-34",IF(B533&lt;45,"35-44","45+")))</f>
        <v/>
      </c>
    </row>
    <row r="534">
      <c r="A534" s="23" t="n">
        <v>44481</v>
      </c>
      <c r="B534" s="3" t="n">
        <v>41</v>
      </c>
      <c r="C534" s="3" t="inlineStr">
        <is>
          <t>M</t>
        </is>
      </c>
      <c r="D534" s="3" t="inlineStr">
        <is>
          <t>Germany</t>
        </is>
      </c>
      <c r="E534" s="3" t="inlineStr">
        <is>
          <t>Bayern</t>
        </is>
      </c>
      <c r="F534" s="3" t="inlineStr">
        <is>
          <t>Road Bikes</t>
        </is>
      </c>
      <c r="G534" s="3" t="inlineStr">
        <is>
          <t>Black</t>
        </is>
      </c>
      <c r="H534" s="3" t="inlineStr">
        <is>
          <t>Road-650 Black, 52</t>
        </is>
      </c>
      <c r="I534" s="4" t="n">
        <v>2</v>
      </c>
      <c r="J534" s="24" t="n">
        <v>620</v>
      </c>
      <c r="K534" s="24" t="n">
        <v>980</v>
      </c>
      <c r="L534" s="25">
        <f>I534*K534</f>
        <v/>
      </c>
      <c r="M534" s="25">
        <f>I534*J534</f>
        <v/>
      </c>
      <c r="N534" s="25">
        <f>L534-M534</f>
        <v/>
      </c>
      <c r="O534" s="26">
        <f>IFERROR(N534/L534,0)</f>
        <v/>
      </c>
      <c r="P534">
        <f>YEAR(A534)</f>
        <v/>
      </c>
      <c r="Q534">
        <f>TEXT(A534,"mmm")</f>
        <v/>
      </c>
      <c r="R534">
        <f>IF(B534&lt;25,"18-24",IF(B534&lt;35,"25-34",IF(B534&lt;45,"35-44","45+")))</f>
        <v/>
      </c>
    </row>
    <row r="535">
      <c r="A535" s="23" t="n">
        <v>44484</v>
      </c>
      <c r="B535" s="3" t="n">
        <v>41</v>
      </c>
      <c r="C535" s="3" t="inlineStr">
        <is>
          <t>M</t>
        </is>
      </c>
      <c r="D535" s="3" t="inlineStr">
        <is>
          <t>Australia</t>
        </is>
      </c>
      <c r="E535" s="3" t="inlineStr">
        <is>
          <t>Queensland</t>
        </is>
      </c>
      <c r="F535" s="3" t="inlineStr">
        <is>
          <t>Road Bikes</t>
        </is>
      </c>
      <c r="G535" s="3" t="inlineStr">
        <is>
          <t>Black</t>
        </is>
      </c>
      <c r="H535" s="3" t="inlineStr">
        <is>
          <t>Road-250 Black, 48</t>
        </is>
      </c>
      <c r="I535" s="4" t="n">
        <v>4</v>
      </c>
      <c r="J535" s="24" t="n">
        <v>580</v>
      </c>
      <c r="K535" s="24" t="n">
        <v>920</v>
      </c>
      <c r="L535" s="25">
        <f>I535*K535</f>
        <v/>
      </c>
      <c r="M535" s="25">
        <f>I535*J535</f>
        <v/>
      </c>
      <c r="N535" s="25">
        <f>L535-M535</f>
        <v/>
      </c>
      <c r="O535" s="26">
        <f>IFERROR(N535/L535,0)</f>
        <v/>
      </c>
      <c r="P535">
        <f>YEAR(A535)</f>
        <v/>
      </c>
      <c r="Q535">
        <f>TEXT(A535,"mmm")</f>
        <v/>
      </c>
      <c r="R535">
        <f>IF(B535&lt;25,"18-24",IF(B535&lt;35,"25-34",IF(B535&lt;45,"35-44","45+")))</f>
        <v/>
      </c>
    </row>
    <row r="536">
      <c r="A536" s="23" t="n">
        <v>44488</v>
      </c>
      <c r="B536" s="3" t="n">
        <v>41</v>
      </c>
      <c r="C536" s="3" t="inlineStr">
        <is>
          <t>F</t>
        </is>
      </c>
      <c r="D536" s="3" t="inlineStr">
        <is>
          <t>Canada</t>
        </is>
      </c>
      <c r="E536" s="3" t="inlineStr">
        <is>
          <t>British Columbia</t>
        </is>
      </c>
      <c r="F536" s="3" t="inlineStr">
        <is>
          <t>Mountain Bikes</t>
        </is>
      </c>
      <c r="G536" s="3" t="inlineStr">
        <is>
          <t>Black</t>
        </is>
      </c>
      <c r="H536" s="3" t="inlineStr">
        <is>
          <t>Mountain-200 Black, 38</t>
        </is>
      </c>
      <c r="I536" s="4" t="n">
        <v>2</v>
      </c>
      <c r="J536" s="24" t="n">
        <v>550</v>
      </c>
      <c r="K536" s="24" t="n">
        <v>850</v>
      </c>
      <c r="L536" s="25">
        <f>I536*K536</f>
        <v/>
      </c>
      <c r="M536" s="25">
        <f>I536*J536</f>
        <v/>
      </c>
      <c r="N536" s="25">
        <f>L536-M536</f>
        <v/>
      </c>
      <c r="O536" s="26">
        <f>IFERROR(N536/L536,0)</f>
        <v/>
      </c>
      <c r="P536">
        <f>YEAR(A536)</f>
        <v/>
      </c>
      <c r="Q536">
        <f>TEXT(A536,"mmm")</f>
        <v/>
      </c>
      <c r="R536">
        <f>IF(B536&lt;25,"18-24",IF(B536&lt;35,"25-34",IF(B536&lt;45,"35-44","45+")))</f>
        <v/>
      </c>
    </row>
    <row r="537">
      <c r="A537" s="23" t="n">
        <v>44488</v>
      </c>
      <c r="B537" s="3" t="n">
        <v>41</v>
      </c>
      <c r="C537" s="3" t="inlineStr">
        <is>
          <t>M</t>
        </is>
      </c>
      <c r="D537" s="3" t="inlineStr">
        <is>
          <t>Australia</t>
        </is>
      </c>
      <c r="E537" s="3" t="inlineStr">
        <is>
          <t>Victoria</t>
        </is>
      </c>
      <c r="F537" s="3" t="inlineStr">
        <is>
          <t>Road Bikes</t>
        </is>
      </c>
      <c r="G537" s="3" t="inlineStr">
        <is>
          <t>Red</t>
        </is>
      </c>
      <c r="H537" s="3" t="inlineStr">
        <is>
          <t>Road-250 Red, 58</t>
        </is>
      </c>
      <c r="I537" s="4" t="n">
        <v>1</v>
      </c>
      <c r="J537" s="24" t="n">
        <v>580</v>
      </c>
      <c r="K537" s="24" t="n">
        <v>920</v>
      </c>
      <c r="L537" s="25">
        <f>I537*K537</f>
        <v/>
      </c>
      <c r="M537" s="25">
        <f>I537*J537</f>
        <v/>
      </c>
      <c r="N537" s="25">
        <f>L537-M537</f>
        <v/>
      </c>
      <c r="O537" s="26">
        <f>IFERROR(N537/L537,0)</f>
        <v/>
      </c>
      <c r="P537">
        <f>YEAR(A537)</f>
        <v/>
      </c>
      <c r="Q537">
        <f>TEXT(A537,"mmm")</f>
        <v/>
      </c>
      <c r="R537">
        <f>IF(B537&lt;25,"18-24",IF(B537&lt;35,"25-34",IF(B537&lt;45,"35-44","45+")))</f>
        <v/>
      </c>
    </row>
    <row r="538">
      <c r="A538" s="23" t="n">
        <v>44493</v>
      </c>
      <c r="B538" s="3" t="n">
        <v>41</v>
      </c>
      <c r="C538" s="3" t="inlineStr">
        <is>
          <t>F</t>
        </is>
      </c>
      <c r="D538" s="3" t="inlineStr">
        <is>
          <t>Canada</t>
        </is>
      </c>
      <c r="E538" s="3" t="inlineStr">
        <is>
          <t>British Columbia</t>
        </is>
      </c>
      <c r="F538" s="3" t="inlineStr">
        <is>
          <t>Mountain Bikes</t>
        </is>
      </c>
      <c r="G538" s="3" t="inlineStr">
        <is>
          <t>Black</t>
        </is>
      </c>
      <c r="H538" s="3" t="inlineStr">
        <is>
          <t>Mountain-200 Black, 38</t>
        </is>
      </c>
      <c r="I538" s="4" t="n">
        <v>2</v>
      </c>
      <c r="J538" s="24" t="n">
        <v>550</v>
      </c>
      <c r="K538" s="24" t="n">
        <v>850</v>
      </c>
      <c r="L538" s="25">
        <f>I538*K538</f>
        <v/>
      </c>
      <c r="M538" s="25">
        <f>I538*J538</f>
        <v/>
      </c>
      <c r="N538" s="25">
        <f>L538-M538</f>
        <v/>
      </c>
      <c r="O538" s="26">
        <f>IFERROR(N538/L538,0)</f>
        <v/>
      </c>
      <c r="P538">
        <f>YEAR(A538)</f>
        <v/>
      </c>
      <c r="Q538">
        <f>TEXT(A538,"mmm")</f>
        <v/>
      </c>
      <c r="R538">
        <f>IF(B538&lt;25,"18-24",IF(B538&lt;35,"25-34",IF(B538&lt;45,"35-44","45+")))</f>
        <v/>
      </c>
    </row>
    <row r="539">
      <c r="A539" s="23" t="n">
        <v>44493</v>
      </c>
      <c r="B539" s="3" t="n">
        <v>41</v>
      </c>
      <c r="C539" s="3" t="inlineStr">
        <is>
          <t>M</t>
        </is>
      </c>
      <c r="D539" s="3" t="inlineStr">
        <is>
          <t>Australia</t>
        </is>
      </c>
      <c r="E539" s="3" t="inlineStr">
        <is>
          <t>New South Wales</t>
        </is>
      </c>
      <c r="F539" s="3" t="inlineStr">
        <is>
          <t>Mountain Bikes</t>
        </is>
      </c>
      <c r="G539" s="3" t="inlineStr">
        <is>
          <t>Silver</t>
        </is>
      </c>
      <c r="H539" s="3" t="inlineStr">
        <is>
          <t>Mountain-200 Silver, 46</t>
        </is>
      </c>
      <c r="I539" s="4" t="n">
        <v>2</v>
      </c>
      <c r="J539" s="24" t="n">
        <v>550</v>
      </c>
      <c r="K539" s="24" t="n">
        <v>850</v>
      </c>
      <c r="L539" s="25">
        <f>I539*K539</f>
        <v/>
      </c>
      <c r="M539" s="25">
        <f>I539*J539</f>
        <v/>
      </c>
      <c r="N539" s="25">
        <f>L539-M539</f>
        <v/>
      </c>
      <c r="O539" s="26">
        <f>IFERROR(N539/L539,0)</f>
        <v/>
      </c>
      <c r="P539">
        <f>YEAR(A539)</f>
        <v/>
      </c>
      <c r="Q539">
        <f>TEXT(A539,"mmm")</f>
        <v/>
      </c>
      <c r="R539">
        <f>IF(B539&lt;25,"18-24",IF(B539&lt;35,"25-34",IF(B539&lt;45,"35-44","45+")))</f>
        <v/>
      </c>
    </row>
    <row r="540">
      <c r="A540" s="23" t="n">
        <v>44494</v>
      </c>
      <c r="B540" s="3" t="n">
        <v>41</v>
      </c>
      <c r="C540" s="3" t="inlineStr">
        <is>
          <t>M</t>
        </is>
      </c>
      <c r="D540" s="3" t="inlineStr">
        <is>
          <t>Germany</t>
        </is>
      </c>
      <c r="E540" s="3" t="inlineStr">
        <is>
          <t>Nordrhein-Westfalen</t>
        </is>
      </c>
      <c r="F540" s="3" t="inlineStr">
        <is>
          <t>Road Bikes</t>
        </is>
      </c>
      <c r="G540" s="3" t="inlineStr">
        <is>
          <t>Yellow</t>
        </is>
      </c>
      <c r="H540" s="3" t="inlineStr">
        <is>
          <t>Road-550-W Yellow, 40</t>
        </is>
      </c>
      <c r="I540" s="4" t="n">
        <v>2</v>
      </c>
      <c r="J540" s="24" t="n">
        <v>500</v>
      </c>
      <c r="K540" s="24" t="n">
        <v>800</v>
      </c>
      <c r="L540" s="25">
        <f>I540*K540</f>
        <v/>
      </c>
      <c r="M540" s="25">
        <f>I540*J540</f>
        <v/>
      </c>
      <c r="N540" s="25">
        <f>L540-M540</f>
        <v/>
      </c>
      <c r="O540" s="26">
        <f>IFERROR(N540/L540,0)</f>
        <v/>
      </c>
      <c r="P540">
        <f>YEAR(A540)</f>
        <v/>
      </c>
      <c r="Q540">
        <f>TEXT(A540,"mmm")</f>
        <v/>
      </c>
      <c r="R540">
        <f>IF(B540&lt;25,"18-24",IF(B540&lt;35,"25-34",IF(B540&lt;45,"35-44","45+")))</f>
        <v/>
      </c>
    </row>
    <row r="541">
      <c r="A541" s="23" t="n">
        <v>44502</v>
      </c>
      <c r="B541" s="3" t="n">
        <v>41</v>
      </c>
      <c r="C541" s="3" t="inlineStr">
        <is>
          <t>F</t>
        </is>
      </c>
      <c r="D541" s="3" t="inlineStr">
        <is>
          <t>Germany</t>
        </is>
      </c>
      <c r="E541" s="3" t="inlineStr">
        <is>
          <t>Hessen</t>
        </is>
      </c>
      <c r="F541" s="3" t="inlineStr">
        <is>
          <t>Mountain Bikes</t>
        </is>
      </c>
      <c r="G541" s="3" t="inlineStr">
        <is>
          <t>Silver</t>
        </is>
      </c>
      <c r="H541" s="3" t="inlineStr">
        <is>
          <t>Mountain-200 Silver, 46</t>
        </is>
      </c>
      <c r="I541" s="4" t="n">
        <v>4</v>
      </c>
      <c r="J541" s="24" t="n">
        <v>550</v>
      </c>
      <c r="K541" s="24" t="n">
        <v>850</v>
      </c>
      <c r="L541" s="25">
        <f>I541*K541</f>
        <v/>
      </c>
      <c r="M541" s="25">
        <f>I541*J541</f>
        <v/>
      </c>
      <c r="N541" s="25">
        <f>L541-M541</f>
        <v/>
      </c>
      <c r="O541" s="26">
        <f>IFERROR(N541/L541,0)</f>
        <v/>
      </c>
      <c r="P541">
        <f>YEAR(A541)</f>
        <v/>
      </c>
      <c r="Q541">
        <f>TEXT(A541,"mmm")</f>
        <v/>
      </c>
      <c r="R541">
        <f>IF(B541&lt;25,"18-24",IF(B541&lt;35,"25-34",IF(B541&lt;45,"35-44","45+")))</f>
        <v/>
      </c>
    </row>
    <row r="542">
      <c r="A542" s="23" t="n">
        <v>44508</v>
      </c>
      <c r="B542" s="3" t="n">
        <v>41</v>
      </c>
      <c r="C542" s="3" t="inlineStr">
        <is>
          <t>M</t>
        </is>
      </c>
      <c r="D542" s="3" t="inlineStr">
        <is>
          <t>United Kingdom</t>
        </is>
      </c>
      <c r="E542" s="3" t="inlineStr">
        <is>
          <t>England</t>
        </is>
      </c>
      <c r="F542" s="3" t="inlineStr">
        <is>
          <t>Road Bikes</t>
        </is>
      </c>
      <c r="G542" s="3" t="inlineStr">
        <is>
          <t>Red</t>
        </is>
      </c>
      <c r="H542" s="3" t="inlineStr">
        <is>
          <t>Road-250 Red, 48</t>
        </is>
      </c>
      <c r="I542" s="4" t="n">
        <v>1</v>
      </c>
      <c r="J542" s="24" t="n">
        <v>580</v>
      </c>
      <c r="K542" s="24" t="n">
        <v>920</v>
      </c>
      <c r="L542" s="25">
        <f>I542*K542</f>
        <v/>
      </c>
      <c r="M542" s="25">
        <f>I542*J542</f>
        <v/>
      </c>
      <c r="N542" s="25">
        <f>L542-M542</f>
        <v/>
      </c>
      <c r="O542" s="26">
        <f>IFERROR(N542/L542,0)</f>
        <v/>
      </c>
      <c r="P542">
        <f>YEAR(A542)</f>
        <v/>
      </c>
      <c r="Q542">
        <f>TEXT(A542,"mmm")</f>
        <v/>
      </c>
      <c r="R542">
        <f>IF(B542&lt;25,"18-24",IF(B542&lt;35,"25-34",IF(B542&lt;45,"35-44","45+")))</f>
        <v/>
      </c>
    </row>
    <row r="543">
      <c r="A543" s="23" t="n">
        <v>44509</v>
      </c>
      <c r="B543" s="3" t="n">
        <v>41</v>
      </c>
      <c r="C543" s="3" t="inlineStr">
        <is>
          <t>F</t>
        </is>
      </c>
      <c r="D543" s="3" t="inlineStr">
        <is>
          <t>Germany</t>
        </is>
      </c>
      <c r="E543" s="3" t="inlineStr">
        <is>
          <t>Hamburg</t>
        </is>
      </c>
      <c r="F543" s="3" t="inlineStr">
        <is>
          <t>Mountain Bikes</t>
        </is>
      </c>
      <c r="G543" s="3" t="inlineStr">
        <is>
          <t>Silver</t>
        </is>
      </c>
      <c r="H543" s="3" t="inlineStr">
        <is>
          <t>Mountain-200 Silver, 42</t>
        </is>
      </c>
      <c r="I543" s="4" t="n">
        <v>3</v>
      </c>
      <c r="J543" s="24" t="n">
        <v>550</v>
      </c>
      <c r="K543" s="24" t="n">
        <v>850</v>
      </c>
      <c r="L543" s="25">
        <f>I543*K543</f>
        <v/>
      </c>
      <c r="M543" s="25">
        <f>I543*J543</f>
        <v/>
      </c>
      <c r="N543" s="25">
        <f>L543-M543</f>
        <v/>
      </c>
      <c r="O543" s="26">
        <f>IFERROR(N543/L543,0)</f>
        <v/>
      </c>
      <c r="P543">
        <f>YEAR(A543)</f>
        <v/>
      </c>
      <c r="Q543">
        <f>TEXT(A543,"mmm")</f>
        <v/>
      </c>
      <c r="R543">
        <f>IF(B543&lt;25,"18-24",IF(B543&lt;35,"25-34",IF(B543&lt;45,"35-44","45+")))</f>
        <v/>
      </c>
    </row>
    <row r="544">
      <c r="A544" s="23" t="n">
        <v>44516</v>
      </c>
      <c r="B544" s="3" t="n">
        <v>41</v>
      </c>
      <c r="C544" s="3" t="inlineStr">
        <is>
          <t>M</t>
        </is>
      </c>
      <c r="D544" s="3" t="inlineStr">
        <is>
          <t>United Kingdom</t>
        </is>
      </c>
      <c r="E544" s="3" t="inlineStr">
        <is>
          <t>England</t>
        </is>
      </c>
      <c r="F544" s="3" t="inlineStr">
        <is>
          <t>Road Bikes</t>
        </is>
      </c>
      <c r="G544" s="3" t="inlineStr">
        <is>
          <t>Red</t>
        </is>
      </c>
      <c r="H544" s="3" t="inlineStr">
        <is>
          <t>Road-250 Red, 48</t>
        </is>
      </c>
      <c r="I544" s="4" t="n">
        <v>1</v>
      </c>
      <c r="J544" s="24" t="n">
        <v>580</v>
      </c>
      <c r="K544" s="24" t="n">
        <v>920</v>
      </c>
      <c r="L544" s="25">
        <f>I544*K544</f>
        <v/>
      </c>
      <c r="M544" s="25">
        <f>I544*J544</f>
        <v/>
      </c>
      <c r="N544" s="25">
        <f>L544-M544</f>
        <v/>
      </c>
      <c r="O544" s="26">
        <f>IFERROR(N544/L544,0)</f>
        <v/>
      </c>
      <c r="P544">
        <f>YEAR(A544)</f>
        <v/>
      </c>
      <c r="Q544">
        <f>TEXT(A544,"mmm")</f>
        <v/>
      </c>
      <c r="R544">
        <f>IF(B544&lt;25,"18-24",IF(B544&lt;35,"25-34",IF(B544&lt;45,"35-44","45+")))</f>
        <v/>
      </c>
    </row>
    <row r="545">
      <c r="A545" s="23" t="n">
        <v>44517</v>
      </c>
      <c r="B545" s="3" t="n">
        <v>41</v>
      </c>
      <c r="C545" s="3" t="inlineStr">
        <is>
          <t>M</t>
        </is>
      </c>
      <c r="D545" s="3" t="inlineStr">
        <is>
          <t>United States</t>
        </is>
      </c>
      <c r="E545" s="3" t="inlineStr">
        <is>
          <t>Washington</t>
        </is>
      </c>
      <c r="F545" s="3" t="inlineStr">
        <is>
          <t>Road Bikes</t>
        </is>
      </c>
      <c r="G545" s="3" t="inlineStr">
        <is>
          <t>Red</t>
        </is>
      </c>
      <c r="H545" s="3" t="inlineStr">
        <is>
          <t>Road-150 Red, 48</t>
        </is>
      </c>
      <c r="I545" s="4" t="n">
        <v>1</v>
      </c>
      <c r="J545" s="24" t="n">
        <v>900</v>
      </c>
      <c r="K545" s="24" t="n">
        <v>1400</v>
      </c>
      <c r="L545" s="25">
        <f>I545*K545</f>
        <v/>
      </c>
      <c r="M545" s="25">
        <f>I545*J545</f>
        <v/>
      </c>
      <c r="N545" s="25">
        <f>L545-M545</f>
        <v/>
      </c>
      <c r="O545" s="26">
        <f>IFERROR(N545/L545,0)</f>
        <v/>
      </c>
      <c r="P545">
        <f>YEAR(A545)</f>
        <v/>
      </c>
      <c r="Q545">
        <f>TEXT(A545,"mmm")</f>
        <v/>
      </c>
      <c r="R545">
        <f>IF(B545&lt;25,"18-24",IF(B545&lt;35,"25-34",IF(B545&lt;45,"35-44","45+")))</f>
        <v/>
      </c>
    </row>
    <row r="546">
      <c r="A546" s="23" t="n">
        <v>44520</v>
      </c>
      <c r="B546" s="3" t="n">
        <v>41</v>
      </c>
      <c r="C546" s="3" t="inlineStr">
        <is>
          <t>M</t>
        </is>
      </c>
      <c r="D546" s="3" t="inlineStr">
        <is>
          <t>United States</t>
        </is>
      </c>
      <c r="E546" s="3" t="inlineStr">
        <is>
          <t>Washington</t>
        </is>
      </c>
      <c r="F546" s="3" t="inlineStr">
        <is>
          <t>Road Bikes</t>
        </is>
      </c>
      <c r="G546" s="3" t="inlineStr">
        <is>
          <t>Red</t>
        </is>
      </c>
      <c r="H546" s="3" t="inlineStr">
        <is>
          <t>Road-150 Red, 48</t>
        </is>
      </c>
      <c r="I546" s="4" t="n">
        <v>3</v>
      </c>
      <c r="J546" s="24" t="n">
        <v>900</v>
      </c>
      <c r="K546" s="24" t="n">
        <v>1400</v>
      </c>
      <c r="L546" s="25">
        <f>I546*K546</f>
        <v/>
      </c>
      <c r="M546" s="25">
        <f>I546*J546</f>
        <v/>
      </c>
      <c r="N546" s="25">
        <f>L546-M546</f>
        <v/>
      </c>
      <c r="O546" s="26">
        <f>IFERROR(N546/L546,0)</f>
        <v/>
      </c>
      <c r="P546">
        <f>YEAR(A546)</f>
        <v/>
      </c>
      <c r="Q546">
        <f>TEXT(A546,"mmm")</f>
        <v/>
      </c>
      <c r="R546">
        <f>IF(B546&lt;25,"18-24",IF(B546&lt;35,"25-34",IF(B546&lt;45,"35-44","45+")))</f>
        <v/>
      </c>
    </row>
    <row r="547">
      <c r="A547" s="23" t="n">
        <v>44526</v>
      </c>
      <c r="B547" s="3" t="n">
        <v>41</v>
      </c>
      <c r="C547" s="3" t="inlineStr">
        <is>
          <t>F</t>
        </is>
      </c>
      <c r="D547" s="3" t="inlineStr">
        <is>
          <t>Germany</t>
        </is>
      </c>
      <c r="E547" s="3" t="inlineStr">
        <is>
          <t>Nordrhein-Westfalen</t>
        </is>
      </c>
      <c r="F547" s="3" t="inlineStr">
        <is>
          <t>Mountain Bikes</t>
        </is>
      </c>
      <c r="G547" s="3" t="inlineStr">
        <is>
          <t>Silver</t>
        </is>
      </c>
      <c r="H547" s="3" t="inlineStr">
        <is>
          <t>Mountain-200 Silver, 46</t>
        </is>
      </c>
      <c r="I547" s="4" t="n">
        <v>1</v>
      </c>
      <c r="J547" s="24" t="n">
        <v>550</v>
      </c>
      <c r="K547" s="24" t="n">
        <v>850</v>
      </c>
      <c r="L547" s="25">
        <f>I547*K547</f>
        <v/>
      </c>
      <c r="M547" s="25">
        <f>I547*J547</f>
        <v/>
      </c>
      <c r="N547" s="25">
        <f>L547-M547</f>
        <v/>
      </c>
      <c r="O547" s="26">
        <f>IFERROR(N547/L547,0)</f>
        <v/>
      </c>
      <c r="P547">
        <f>YEAR(A547)</f>
        <v/>
      </c>
      <c r="Q547">
        <f>TEXT(A547,"mmm")</f>
        <v/>
      </c>
      <c r="R547">
        <f>IF(B547&lt;25,"18-24",IF(B547&lt;35,"25-34",IF(B547&lt;45,"35-44","45+")))</f>
        <v/>
      </c>
    </row>
    <row r="548">
      <c r="A548" s="23" t="n">
        <v>44530</v>
      </c>
      <c r="B548" s="3" t="n">
        <v>41</v>
      </c>
      <c r="C548" s="3" t="inlineStr">
        <is>
          <t>M</t>
        </is>
      </c>
      <c r="D548" s="3" t="inlineStr">
        <is>
          <t>United States</t>
        </is>
      </c>
      <c r="E548" s="3" t="inlineStr">
        <is>
          <t>Washington</t>
        </is>
      </c>
      <c r="F548" s="3" t="inlineStr">
        <is>
          <t>Road Bikes</t>
        </is>
      </c>
      <c r="G548" s="3" t="inlineStr">
        <is>
          <t>Red</t>
        </is>
      </c>
      <c r="H548" s="3" t="inlineStr">
        <is>
          <t>Road-150 Red, 48</t>
        </is>
      </c>
      <c r="I548" s="4" t="n">
        <v>1</v>
      </c>
      <c r="J548" s="24" t="n">
        <v>900</v>
      </c>
      <c r="K548" s="24" t="n">
        <v>1400</v>
      </c>
      <c r="L548" s="25">
        <f>I548*K548</f>
        <v/>
      </c>
      <c r="M548" s="25">
        <f>I548*J548</f>
        <v/>
      </c>
      <c r="N548" s="25">
        <f>L548-M548</f>
        <v/>
      </c>
      <c r="O548" s="26">
        <f>IFERROR(N548/L548,0)</f>
        <v/>
      </c>
      <c r="P548">
        <f>YEAR(A548)</f>
        <v/>
      </c>
      <c r="Q548">
        <f>TEXT(A548,"mmm")</f>
        <v/>
      </c>
      <c r="R548">
        <f>IF(B548&lt;25,"18-24",IF(B548&lt;35,"25-34",IF(B548&lt;45,"35-44","45+")))</f>
        <v/>
      </c>
    </row>
    <row r="549">
      <c r="A549" s="23" t="n">
        <v>44532</v>
      </c>
      <c r="B549" s="3" t="n">
        <v>41</v>
      </c>
      <c r="C549" s="3" t="inlineStr">
        <is>
          <t>M</t>
        </is>
      </c>
      <c r="D549" s="3" t="inlineStr">
        <is>
          <t>Australia</t>
        </is>
      </c>
      <c r="E549" s="3" t="inlineStr">
        <is>
          <t>New South Wales</t>
        </is>
      </c>
      <c r="F549" s="3" t="inlineStr">
        <is>
          <t>Road Bikes</t>
        </is>
      </c>
      <c r="G549" s="3" t="inlineStr">
        <is>
          <t>Black</t>
        </is>
      </c>
      <c r="H549" s="3" t="inlineStr">
        <is>
          <t>Road-750 Black, 48</t>
        </is>
      </c>
      <c r="I549" s="4" t="n">
        <v>3</v>
      </c>
      <c r="J549" s="24" t="n">
        <v>700</v>
      </c>
      <c r="K549" s="24" t="n">
        <v>1100</v>
      </c>
      <c r="L549" s="25">
        <f>I549*K549</f>
        <v/>
      </c>
      <c r="M549" s="25">
        <f>I549*J549</f>
        <v/>
      </c>
      <c r="N549" s="25">
        <f>L549-M549</f>
        <v/>
      </c>
      <c r="O549" s="26">
        <f>IFERROR(N549/L549,0)</f>
        <v/>
      </c>
      <c r="P549">
        <f>YEAR(A549)</f>
        <v/>
      </c>
      <c r="Q549">
        <f>TEXT(A549,"mmm")</f>
        <v/>
      </c>
      <c r="R549">
        <f>IF(B549&lt;25,"18-24",IF(B549&lt;35,"25-34",IF(B549&lt;45,"35-44","45+")))</f>
        <v/>
      </c>
    </row>
    <row r="550">
      <c r="A550" s="23" t="n">
        <v>44533</v>
      </c>
      <c r="B550" s="3" t="n">
        <v>41</v>
      </c>
      <c r="C550" s="3" t="inlineStr">
        <is>
          <t>F</t>
        </is>
      </c>
      <c r="D550" s="3" t="inlineStr">
        <is>
          <t>United States</t>
        </is>
      </c>
      <c r="E550" s="3" t="inlineStr">
        <is>
          <t>Washington</t>
        </is>
      </c>
      <c r="F550" s="3" t="inlineStr">
        <is>
          <t>Road Bikes</t>
        </is>
      </c>
      <c r="G550" s="3" t="inlineStr">
        <is>
          <t>Black</t>
        </is>
      </c>
      <c r="H550" s="3" t="inlineStr">
        <is>
          <t>Road-250 Black, 52</t>
        </is>
      </c>
      <c r="I550" s="4" t="n">
        <v>4</v>
      </c>
      <c r="J550" s="24" t="n">
        <v>580</v>
      </c>
      <c r="K550" s="24" t="n">
        <v>920</v>
      </c>
      <c r="L550" s="25">
        <f>I550*K550</f>
        <v/>
      </c>
      <c r="M550" s="25">
        <f>I550*J550</f>
        <v/>
      </c>
      <c r="N550" s="25">
        <f>L550-M550</f>
        <v/>
      </c>
      <c r="O550" s="26">
        <f>IFERROR(N550/L550,0)</f>
        <v/>
      </c>
      <c r="P550">
        <f>YEAR(A550)</f>
        <v/>
      </c>
      <c r="Q550">
        <f>TEXT(A550,"mmm")</f>
        <v/>
      </c>
      <c r="R550">
        <f>IF(B550&lt;25,"18-24",IF(B550&lt;35,"25-34",IF(B550&lt;45,"35-44","45+")))</f>
        <v/>
      </c>
    </row>
    <row r="551">
      <c r="A551" s="23" t="n">
        <v>44535</v>
      </c>
      <c r="B551" s="3" t="n">
        <v>41</v>
      </c>
      <c r="C551" s="3" t="inlineStr">
        <is>
          <t>M</t>
        </is>
      </c>
      <c r="D551" s="3" t="inlineStr">
        <is>
          <t>United States</t>
        </is>
      </c>
      <c r="E551" s="3" t="inlineStr">
        <is>
          <t>Washington</t>
        </is>
      </c>
      <c r="F551" s="3" t="inlineStr">
        <is>
          <t>Road Bikes</t>
        </is>
      </c>
      <c r="G551" s="3" t="inlineStr">
        <is>
          <t>Red</t>
        </is>
      </c>
      <c r="H551" s="3" t="inlineStr">
        <is>
          <t>Road-150 Red, 48</t>
        </is>
      </c>
      <c r="I551" s="4" t="n">
        <v>1</v>
      </c>
      <c r="J551" s="24" t="n">
        <v>900</v>
      </c>
      <c r="K551" s="24" t="n">
        <v>1400</v>
      </c>
      <c r="L551" s="25">
        <f>I551*K551</f>
        <v/>
      </c>
      <c r="M551" s="25">
        <f>I551*J551</f>
        <v/>
      </c>
      <c r="N551" s="25">
        <f>L551-M551</f>
        <v/>
      </c>
      <c r="O551" s="26">
        <f>IFERROR(N551/L551,0)</f>
        <v/>
      </c>
      <c r="P551">
        <f>YEAR(A551)</f>
        <v/>
      </c>
      <c r="Q551">
        <f>TEXT(A551,"mmm")</f>
        <v/>
      </c>
      <c r="R551">
        <f>IF(B551&lt;25,"18-24",IF(B551&lt;35,"25-34",IF(B551&lt;45,"35-44","45+")))</f>
        <v/>
      </c>
    </row>
    <row r="552">
      <c r="A552" s="23" t="n">
        <v>44537</v>
      </c>
      <c r="B552" s="3" t="n">
        <v>41</v>
      </c>
      <c r="C552" s="3" t="inlineStr">
        <is>
          <t>F</t>
        </is>
      </c>
      <c r="D552" s="3" t="inlineStr">
        <is>
          <t>United States</t>
        </is>
      </c>
      <c r="E552" s="3" t="inlineStr">
        <is>
          <t>California</t>
        </is>
      </c>
      <c r="F552" s="3" t="inlineStr">
        <is>
          <t>Road Bikes</t>
        </is>
      </c>
      <c r="G552" s="3" t="inlineStr">
        <is>
          <t>Black</t>
        </is>
      </c>
      <c r="H552" s="3" t="inlineStr">
        <is>
          <t>Road-750 Black, 52</t>
        </is>
      </c>
      <c r="I552" s="4" t="n">
        <v>1</v>
      </c>
      <c r="J552" s="24" t="n">
        <v>700</v>
      </c>
      <c r="K552" s="24" t="n">
        <v>1100</v>
      </c>
      <c r="L552" s="25">
        <f>I552*K552</f>
        <v/>
      </c>
      <c r="M552" s="25">
        <f>I552*J552</f>
        <v/>
      </c>
      <c r="N552" s="25">
        <f>L552-M552</f>
        <v/>
      </c>
      <c r="O552" s="26">
        <f>IFERROR(N552/L552,0)</f>
        <v/>
      </c>
      <c r="P552">
        <f>YEAR(A552)</f>
        <v/>
      </c>
      <c r="Q552">
        <f>TEXT(A552,"mmm")</f>
        <v/>
      </c>
      <c r="R552">
        <f>IF(B552&lt;25,"18-24",IF(B552&lt;35,"25-34",IF(B552&lt;45,"35-44","45+")))</f>
        <v/>
      </c>
    </row>
    <row r="553">
      <c r="A553" s="23" t="n">
        <v>44539</v>
      </c>
      <c r="B553" s="3" t="n">
        <v>41</v>
      </c>
      <c r="C553" s="3" t="inlineStr">
        <is>
          <t>F</t>
        </is>
      </c>
      <c r="D553" s="3" t="inlineStr">
        <is>
          <t>Germany</t>
        </is>
      </c>
      <c r="E553" s="3" t="inlineStr">
        <is>
          <t>Hamburg</t>
        </is>
      </c>
      <c r="F553" s="3" t="inlineStr">
        <is>
          <t>Mountain Bikes</t>
        </is>
      </c>
      <c r="G553" s="3" t="inlineStr">
        <is>
          <t>Silver</t>
        </is>
      </c>
      <c r="H553" s="3" t="inlineStr">
        <is>
          <t>Mountain-200 Silver, 42</t>
        </is>
      </c>
      <c r="I553" s="4" t="n">
        <v>1</v>
      </c>
      <c r="J553" s="24" t="n">
        <v>550</v>
      </c>
      <c r="K553" s="24" t="n">
        <v>850</v>
      </c>
      <c r="L553" s="25">
        <f>I553*K553</f>
        <v/>
      </c>
      <c r="M553" s="25">
        <f>I553*J553</f>
        <v/>
      </c>
      <c r="N553" s="25">
        <f>L553-M553</f>
        <v/>
      </c>
      <c r="O553" s="26">
        <f>IFERROR(N553/L553,0)</f>
        <v/>
      </c>
      <c r="P553">
        <f>YEAR(A553)</f>
        <v/>
      </c>
      <c r="Q553">
        <f>TEXT(A553,"mmm")</f>
        <v/>
      </c>
      <c r="R553">
        <f>IF(B553&lt;25,"18-24",IF(B553&lt;35,"25-34",IF(B553&lt;45,"35-44","45+")))</f>
        <v/>
      </c>
    </row>
    <row r="554">
      <c r="A554" s="23" t="n">
        <v>44541</v>
      </c>
      <c r="B554" s="3" t="n">
        <v>41</v>
      </c>
      <c r="C554" s="3" t="inlineStr">
        <is>
          <t>M</t>
        </is>
      </c>
      <c r="D554" s="3" t="inlineStr">
        <is>
          <t>United States</t>
        </is>
      </c>
      <c r="E554" s="3" t="inlineStr">
        <is>
          <t>California</t>
        </is>
      </c>
      <c r="F554" s="3" t="inlineStr">
        <is>
          <t>Road Bikes</t>
        </is>
      </c>
      <c r="G554" s="3" t="inlineStr">
        <is>
          <t>Black</t>
        </is>
      </c>
      <c r="H554" s="3" t="inlineStr">
        <is>
          <t>Road-750 Black, 48</t>
        </is>
      </c>
      <c r="I554" s="4" t="n">
        <v>3</v>
      </c>
      <c r="J554" s="24" t="n">
        <v>700</v>
      </c>
      <c r="K554" s="24" t="n">
        <v>1100</v>
      </c>
      <c r="L554" s="25">
        <f>I554*K554</f>
        <v/>
      </c>
      <c r="M554" s="25">
        <f>I554*J554</f>
        <v/>
      </c>
      <c r="N554" s="25">
        <f>L554-M554</f>
        <v/>
      </c>
      <c r="O554" s="26">
        <f>IFERROR(N554/L554,0)</f>
        <v/>
      </c>
      <c r="P554">
        <f>YEAR(A554)</f>
        <v/>
      </c>
      <c r="Q554">
        <f>TEXT(A554,"mmm")</f>
        <v/>
      </c>
      <c r="R554">
        <f>IF(B554&lt;25,"18-24",IF(B554&lt;35,"25-34",IF(B554&lt;45,"35-44","45+")))</f>
        <v/>
      </c>
    </row>
    <row r="555">
      <c r="A555" s="23" t="n">
        <v>44541</v>
      </c>
      <c r="B555" s="3" t="n">
        <v>41</v>
      </c>
      <c r="C555" s="3" t="inlineStr">
        <is>
          <t>F</t>
        </is>
      </c>
      <c r="D555" s="3" t="inlineStr">
        <is>
          <t>Australia</t>
        </is>
      </c>
      <c r="E555" s="3" t="inlineStr">
        <is>
          <t>New South Wales</t>
        </is>
      </c>
      <c r="F555" s="3" t="inlineStr">
        <is>
          <t>Mountain Bikes</t>
        </is>
      </c>
      <c r="G555" s="3" t="inlineStr">
        <is>
          <t>Silver</t>
        </is>
      </c>
      <c r="H555" s="3" t="inlineStr">
        <is>
          <t>Mountain-400-W Silver, 38</t>
        </is>
      </c>
      <c r="I555" s="4" t="n">
        <v>2</v>
      </c>
      <c r="J555" s="24" t="n">
        <v>450</v>
      </c>
      <c r="K555" s="24" t="n">
        <v>720</v>
      </c>
      <c r="L555" s="25">
        <f>I555*K555</f>
        <v/>
      </c>
      <c r="M555" s="25">
        <f>I555*J555</f>
        <v/>
      </c>
      <c r="N555" s="25">
        <f>L555-M555</f>
        <v/>
      </c>
      <c r="O555" s="26">
        <f>IFERROR(N555/L555,0)</f>
        <v/>
      </c>
      <c r="P555">
        <f>YEAR(A555)</f>
        <v/>
      </c>
      <c r="Q555">
        <f>TEXT(A555,"mmm")</f>
        <v/>
      </c>
      <c r="R555">
        <f>IF(B555&lt;25,"18-24",IF(B555&lt;35,"25-34",IF(B555&lt;45,"35-44","45+")))</f>
        <v/>
      </c>
    </row>
    <row r="556">
      <c r="A556" s="23" t="n">
        <v>44552</v>
      </c>
      <c r="B556" s="3" t="n">
        <v>41</v>
      </c>
      <c r="C556" s="3" t="inlineStr">
        <is>
          <t>M</t>
        </is>
      </c>
      <c r="D556" s="3" t="inlineStr">
        <is>
          <t>United States</t>
        </is>
      </c>
      <c r="E556" s="3" t="inlineStr">
        <is>
          <t>California</t>
        </is>
      </c>
      <c r="F556" s="3" t="inlineStr">
        <is>
          <t>Mountain Bikes</t>
        </is>
      </c>
      <c r="G556" s="3" t="inlineStr">
        <is>
          <t>Black</t>
        </is>
      </c>
      <c r="H556" s="3" t="inlineStr">
        <is>
          <t>Mountain-200 Black, 42</t>
        </is>
      </c>
      <c r="I556" s="4" t="n">
        <v>3</v>
      </c>
      <c r="J556" s="24" t="n">
        <v>550</v>
      </c>
      <c r="K556" s="24" t="n">
        <v>850</v>
      </c>
      <c r="L556" s="25">
        <f>I556*K556</f>
        <v/>
      </c>
      <c r="M556" s="25">
        <f>I556*J556</f>
        <v/>
      </c>
      <c r="N556" s="25">
        <f>L556-M556</f>
        <v/>
      </c>
      <c r="O556" s="26">
        <f>IFERROR(N556/L556,0)</f>
        <v/>
      </c>
      <c r="P556">
        <f>YEAR(A556)</f>
        <v/>
      </c>
      <c r="Q556">
        <f>TEXT(A556,"mmm")</f>
        <v/>
      </c>
      <c r="R556">
        <f>IF(B556&lt;25,"18-24",IF(B556&lt;35,"25-34",IF(B556&lt;45,"35-44","45+")))</f>
        <v/>
      </c>
    </row>
    <row r="557">
      <c r="A557" s="23" t="n">
        <v>44552</v>
      </c>
      <c r="B557" s="3" t="n">
        <v>41</v>
      </c>
      <c r="C557" s="3" t="inlineStr">
        <is>
          <t>M</t>
        </is>
      </c>
      <c r="D557" s="3" t="inlineStr">
        <is>
          <t>Germany</t>
        </is>
      </c>
      <c r="E557" s="3" t="inlineStr">
        <is>
          <t>Hessen</t>
        </is>
      </c>
      <c r="F557" s="3" t="inlineStr">
        <is>
          <t>Mountain Bikes</t>
        </is>
      </c>
      <c r="G557" s="3" t="inlineStr">
        <is>
          <t>Silver</t>
        </is>
      </c>
      <c r="H557" s="3" t="inlineStr">
        <is>
          <t>Mountain-200 Silver, 38</t>
        </is>
      </c>
      <c r="I557" s="4" t="n">
        <v>1</v>
      </c>
      <c r="J557" s="24" t="n">
        <v>550</v>
      </c>
      <c r="K557" s="24" t="n">
        <v>850</v>
      </c>
      <c r="L557" s="25">
        <f>I557*K557</f>
        <v/>
      </c>
      <c r="M557" s="25">
        <f>I557*J557</f>
        <v/>
      </c>
      <c r="N557" s="25">
        <f>L557-M557</f>
        <v/>
      </c>
      <c r="O557" s="26">
        <f>IFERROR(N557/L557,0)</f>
        <v/>
      </c>
      <c r="P557">
        <f>YEAR(A557)</f>
        <v/>
      </c>
      <c r="Q557">
        <f>TEXT(A557,"mmm")</f>
        <v/>
      </c>
      <c r="R557">
        <f>IF(B557&lt;25,"18-24",IF(B557&lt;35,"25-34",IF(B557&lt;45,"35-44","45+")))</f>
        <v/>
      </c>
    </row>
    <row r="558">
      <c r="A558" s="23" t="n">
        <v>44557</v>
      </c>
      <c r="B558" s="3" t="n">
        <v>41</v>
      </c>
      <c r="C558" s="3" t="inlineStr">
        <is>
          <t>F</t>
        </is>
      </c>
      <c r="D558" s="3" t="inlineStr">
        <is>
          <t>Australia</t>
        </is>
      </c>
      <c r="E558" s="3" t="inlineStr">
        <is>
          <t>Victoria</t>
        </is>
      </c>
      <c r="F558" s="3" t="inlineStr">
        <is>
          <t>Road Bikes</t>
        </is>
      </c>
      <c r="G558" s="3" t="inlineStr">
        <is>
          <t>Red</t>
        </is>
      </c>
      <c r="H558" s="3" t="inlineStr">
        <is>
          <t>Road-150 Red, 48</t>
        </is>
      </c>
      <c r="I558" s="4" t="n">
        <v>1</v>
      </c>
      <c r="J558" s="24" t="n">
        <v>900</v>
      </c>
      <c r="K558" s="24" t="n">
        <v>1400</v>
      </c>
      <c r="L558" s="25">
        <f>I558*K558</f>
        <v/>
      </c>
      <c r="M558" s="25">
        <f>I558*J558</f>
        <v/>
      </c>
      <c r="N558" s="25">
        <f>L558-M558</f>
        <v/>
      </c>
      <c r="O558" s="26">
        <f>IFERROR(N558/L558,0)</f>
        <v/>
      </c>
      <c r="P558">
        <f>YEAR(A558)</f>
        <v/>
      </c>
      <c r="Q558">
        <f>TEXT(A558,"mmm")</f>
        <v/>
      </c>
      <c r="R558">
        <f>IF(B558&lt;25,"18-24",IF(B558&lt;35,"25-34",IF(B558&lt;45,"35-44","45+")))</f>
        <v/>
      </c>
    </row>
    <row r="559">
      <c r="A559" s="23" t="n">
        <v>44483</v>
      </c>
      <c r="B559" s="3" t="n">
        <v>42</v>
      </c>
      <c r="C559" s="3" t="inlineStr">
        <is>
          <t>F</t>
        </is>
      </c>
      <c r="D559" s="3" t="inlineStr">
        <is>
          <t>Germany</t>
        </is>
      </c>
      <c r="E559" s="3" t="inlineStr">
        <is>
          <t>Hessen</t>
        </is>
      </c>
      <c r="F559" s="3" t="inlineStr">
        <is>
          <t>Road Bikes</t>
        </is>
      </c>
      <c r="G559" s="3" t="inlineStr">
        <is>
          <t>Red</t>
        </is>
      </c>
      <c r="H559" s="3" t="inlineStr">
        <is>
          <t>Road-650 Red, 62</t>
        </is>
      </c>
      <c r="I559" s="4" t="n">
        <v>1</v>
      </c>
      <c r="J559" s="24" t="n">
        <v>620</v>
      </c>
      <c r="K559" s="24" t="n">
        <v>980</v>
      </c>
      <c r="L559" s="25">
        <f>I559*K559</f>
        <v/>
      </c>
      <c r="M559" s="25">
        <f>I559*J559</f>
        <v/>
      </c>
      <c r="N559" s="25">
        <f>L559-M559</f>
        <v/>
      </c>
      <c r="O559" s="26">
        <f>IFERROR(N559/L559,0)</f>
        <v/>
      </c>
      <c r="P559">
        <f>YEAR(A559)</f>
        <v/>
      </c>
      <c r="Q559">
        <f>TEXT(A559,"mmm")</f>
        <v/>
      </c>
      <c r="R559">
        <f>IF(B559&lt;25,"18-24",IF(B559&lt;35,"25-34",IF(B559&lt;45,"35-44","45+")))</f>
        <v/>
      </c>
    </row>
    <row r="560">
      <c r="A560" s="23" t="n">
        <v>44485</v>
      </c>
      <c r="B560" s="3" t="n">
        <v>42</v>
      </c>
      <c r="C560" s="3" t="inlineStr">
        <is>
          <t>F</t>
        </is>
      </c>
      <c r="D560" s="3" t="inlineStr">
        <is>
          <t>United States</t>
        </is>
      </c>
      <c r="E560" s="3" t="inlineStr">
        <is>
          <t>Washington</t>
        </is>
      </c>
      <c r="F560" s="3" t="inlineStr">
        <is>
          <t>Road Bikes</t>
        </is>
      </c>
      <c r="G560" s="3" t="inlineStr">
        <is>
          <t>Black</t>
        </is>
      </c>
      <c r="H560" s="3" t="inlineStr">
        <is>
          <t>Road-750 Black, 48</t>
        </is>
      </c>
      <c r="I560" s="4" t="n">
        <v>2</v>
      </c>
      <c r="J560" s="24" t="n">
        <v>700</v>
      </c>
      <c r="K560" s="24" t="n">
        <v>1100</v>
      </c>
      <c r="L560" s="25">
        <f>I560*K560</f>
        <v/>
      </c>
      <c r="M560" s="25">
        <f>I560*J560</f>
        <v/>
      </c>
      <c r="N560" s="25">
        <f>L560-M560</f>
        <v/>
      </c>
      <c r="O560" s="26">
        <f>IFERROR(N560/L560,0)</f>
        <v/>
      </c>
      <c r="P560">
        <f>YEAR(A560)</f>
        <v/>
      </c>
      <c r="Q560">
        <f>TEXT(A560,"mmm")</f>
        <v/>
      </c>
      <c r="R560">
        <f>IF(B560&lt;25,"18-24",IF(B560&lt;35,"25-34",IF(B560&lt;45,"35-44","45+")))</f>
        <v/>
      </c>
    </row>
    <row r="561">
      <c r="A561" s="23" t="n">
        <v>44492</v>
      </c>
      <c r="B561" s="3" t="n">
        <v>42</v>
      </c>
      <c r="C561" s="3" t="inlineStr">
        <is>
          <t>M</t>
        </is>
      </c>
      <c r="D561" s="3" t="inlineStr">
        <is>
          <t>Australia</t>
        </is>
      </c>
      <c r="E561" s="3" t="inlineStr">
        <is>
          <t>Victoria</t>
        </is>
      </c>
      <c r="F561" s="3" t="inlineStr">
        <is>
          <t>Mountain Bikes</t>
        </is>
      </c>
      <c r="G561" s="3" t="inlineStr">
        <is>
          <t>Silver</t>
        </is>
      </c>
      <c r="H561" s="3" t="inlineStr">
        <is>
          <t>Mountain-200 Silver, 46</t>
        </is>
      </c>
      <c r="I561" s="4" t="n">
        <v>1</v>
      </c>
      <c r="J561" s="24" t="n">
        <v>550</v>
      </c>
      <c r="K561" s="24" t="n">
        <v>850</v>
      </c>
      <c r="L561" s="25">
        <f>I561*K561</f>
        <v/>
      </c>
      <c r="M561" s="25">
        <f>I561*J561</f>
        <v/>
      </c>
      <c r="N561" s="25">
        <f>L561-M561</f>
        <v/>
      </c>
      <c r="O561" s="26">
        <f>IFERROR(N561/L561,0)</f>
        <v/>
      </c>
      <c r="P561">
        <f>YEAR(A561)</f>
        <v/>
      </c>
      <c r="Q561">
        <f>TEXT(A561,"mmm")</f>
        <v/>
      </c>
      <c r="R561">
        <f>IF(B561&lt;25,"18-24",IF(B561&lt;35,"25-34",IF(B561&lt;45,"35-44","45+")))</f>
        <v/>
      </c>
    </row>
    <row r="562">
      <c r="A562" s="23" t="n">
        <v>44492</v>
      </c>
      <c r="B562" s="3" t="n">
        <v>42</v>
      </c>
      <c r="C562" s="3" t="inlineStr">
        <is>
          <t>M</t>
        </is>
      </c>
      <c r="D562" s="3" t="inlineStr">
        <is>
          <t>Australia</t>
        </is>
      </c>
      <c r="E562" s="3" t="inlineStr">
        <is>
          <t>South Australia</t>
        </is>
      </c>
      <c r="F562" s="3" t="inlineStr">
        <is>
          <t>Mountain Bikes</t>
        </is>
      </c>
      <c r="G562" s="3" t="inlineStr">
        <is>
          <t>Black</t>
        </is>
      </c>
      <c r="H562" s="3" t="inlineStr">
        <is>
          <t>Mountain-200 Black, 38</t>
        </is>
      </c>
      <c r="I562" s="4" t="n">
        <v>1</v>
      </c>
      <c r="J562" s="24" t="n">
        <v>550</v>
      </c>
      <c r="K562" s="24" t="n">
        <v>850</v>
      </c>
      <c r="L562" s="25">
        <f>I562*K562</f>
        <v/>
      </c>
      <c r="M562" s="25">
        <f>I562*J562</f>
        <v/>
      </c>
      <c r="N562" s="25">
        <f>L562-M562</f>
        <v/>
      </c>
      <c r="O562" s="26">
        <f>IFERROR(N562/L562,0)</f>
        <v/>
      </c>
      <c r="P562">
        <f>YEAR(A562)</f>
        <v/>
      </c>
      <c r="Q562">
        <f>TEXT(A562,"mmm")</f>
        <v/>
      </c>
      <c r="R562">
        <f>IF(B562&lt;25,"18-24",IF(B562&lt;35,"25-34",IF(B562&lt;45,"35-44","45+")))</f>
        <v/>
      </c>
    </row>
    <row r="563">
      <c r="A563" s="23" t="n">
        <v>44497</v>
      </c>
      <c r="B563" s="3" t="n">
        <v>42</v>
      </c>
      <c r="C563" s="3" t="inlineStr">
        <is>
          <t>M</t>
        </is>
      </c>
      <c r="D563" s="3" t="inlineStr">
        <is>
          <t>Australia</t>
        </is>
      </c>
      <c r="E563" s="3" t="inlineStr">
        <is>
          <t>New South Wales</t>
        </is>
      </c>
      <c r="F563" s="3" t="inlineStr">
        <is>
          <t>Road Bikes</t>
        </is>
      </c>
      <c r="G563" s="3" t="inlineStr">
        <is>
          <t>Red</t>
        </is>
      </c>
      <c r="H563" s="3" t="inlineStr">
        <is>
          <t>Road-150 Red, 44</t>
        </is>
      </c>
      <c r="I563" s="4" t="n">
        <v>1</v>
      </c>
      <c r="J563" s="24" t="n">
        <v>900</v>
      </c>
      <c r="K563" s="24" t="n">
        <v>1400</v>
      </c>
      <c r="L563" s="25">
        <f>I563*K563</f>
        <v/>
      </c>
      <c r="M563" s="25">
        <f>I563*J563</f>
        <v/>
      </c>
      <c r="N563" s="25">
        <f>L563-M563</f>
        <v/>
      </c>
      <c r="O563" s="26">
        <f>IFERROR(N563/L563,0)</f>
        <v/>
      </c>
      <c r="P563">
        <f>YEAR(A563)</f>
        <v/>
      </c>
      <c r="Q563">
        <f>TEXT(A563,"mmm")</f>
        <v/>
      </c>
      <c r="R563">
        <f>IF(B563&lt;25,"18-24",IF(B563&lt;35,"25-34",IF(B563&lt;45,"35-44","45+")))</f>
        <v/>
      </c>
    </row>
    <row r="564">
      <c r="A564" s="23" t="n">
        <v>44499</v>
      </c>
      <c r="B564" s="3" t="n">
        <v>42</v>
      </c>
      <c r="C564" s="3" t="inlineStr">
        <is>
          <t>F</t>
        </is>
      </c>
      <c r="D564" s="3" t="inlineStr">
        <is>
          <t>Australia</t>
        </is>
      </c>
      <c r="E564" s="3" t="inlineStr">
        <is>
          <t>Victoria</t>
        </is>
      </c>
      <c r="F564" s="3" t="inlineStr">
        <is>
          <t>Road Bikes</t>
        </is>
      </c>
      <c r="G564" s="3" t="inlineStr">
        <is>
          <t>Black</t>
        </is>
      </c>
      <c r="H564" s="3" t="inlineStr">
        <is>
          <t>Road-750 Black, 48</t>
        </is>
      </c>
      <c r="I564" s="4" t="n">
        <v>3</v>
      </c>
      <c r="J564" s="24" t="n">
        <v>700</v>
      </c>
      <c r="K564" s="24" t="n">
        <v>1100</v>
      </c>
      <c r="L564" s="25">
        <f>I564*K564</f>
        <v/>
      </c>
      <c r="M564" s="25">
        <f>I564*J564</f>
        <v/>
      </c>
      <c r="N564" s="25">
        <f>L564-M564</f>
        <v/>
      </c>
      <c r="O564" s="26">
        <f>IFERROR(N564/L564,0)</f>
        <v/>
      </c>
      <c r="P564">
        <f>YEAR(A564)</f>
        <v/>
      </c>
      <c r="Q564">
        <f>TEXT(A564,"mmm")</f>
        <v/>
      </c>
      <c r="R564">
        <f>IF(B564&lt;25,"18-24",IF(B564&lt;35,"25-34",IF(B564&lt;45,"35-44","45+")))</f>
        <v/>
      </c>
    </row>
    <row r="565">
      <c r="A565" s="23" t="n">
        <v>44525</v>
      </c>
      <c r="B565" s="3" t="n">
        <v>42</v>
      </c>
      <c r="C565" s="3" t="inlineStr">
        <is>
          <t>M</t>
        </is>
      </c>
      <c r="D565" s="3" t="inlineStr">
        <is>
          <t>United Kingdom</t>
        </is>
      </c>
      <c r="E565" s="3" t="inlineStr">
        <is>
          <t>England</t>
        </is>
      </c>
      <c r="F565" s="3" t="inlineStr">
        <is>
          <t>Road Bikes</t>
        </is>
      </c>
      <c r="G565" s="3" t="inlineStr">
        <is>
          <t>Red</t>
        </is>
      </c>
      <c r="H565" s="3" t="inlineStr">
        <is>
          <t>Road-650 Red, 58</t>
        </is>
      </c>
      <c r="I565" s="4" t="n">
        <v>1</v>
      </c>
      <c r="J565" s="24" t="n">
        <v>620</v>
      </c>
      <c r="K565" s="24" t="n">
        <v>980</v>
      </c>
      <c r="L565" s="25">
        <f>I565*K565</f>
        <v/>
      </c>
      <c r="M565" s="25">
        <f>I565*J565</f>
        <v/>
      </c>
      <c r="N565" s="25">
        <f>L565-M565</f>
        <v/>
      </c>
      <c r="O565" s="26">
        <f>IFERROR(N565/L565,0)</f>
        <v/>
      </c>
      <c r="P565">
        <f>YEAR(A565)</f>
        <v/>
      </c>
      <c r="Q565">
        <f>TEXT(A565,"mmm")</f>
        <v/>
      </c>
      <c r="R565">
        <f>IF(B565&lt;25,"18-24",IF(B565&lt;35,"25-34",IF(B565&lt;45,"35-44","45+")))</f>
        <v/>
      </c>
    </row>
    <row r="566">
      <c r="A566" s="23" t="n">
        <v>44531</v>
      </c>
      <c r="B566" s="3" t="n">
        <v>42</v>
      </c>
      <c r="C566" s="3" t="inlineStr">
        <is>
          <t>M</t>
        </is>
      </c>
      <c r="D566" s="3" t="inlineStr">
        <is>
          <t>United States</t>
        </is>
      </c>
      <c r="E566" s="3" t="inlineStr">
        <is>
          <t>Washington</t>
        </is>
      </c>
      <c r="F566" s="3" t="inlineStr">
        <is>
          <t>Road Bikes</t>
        </is>
      </c>
      <c r="G566" s="3" t="inlineStr">
        <is>
          <t>Black</t>
        </is>
      </c>
      <c r="H566" s="3" t="inlineStr">
        <is>
          <t>Road-750 Black, 44</t>
        </is>
      </c>
      <c r="I566" s="4" t="n">
        <v>3</v>
      </c>
      <c r="J566" s="24" t="n">
        <v>700</v>
      </c>
      <c r="K566" s="24" t="n">
        <v>1100</v>
      </c>
      <c r="L566" s="25">
        <f>I566*K566</f>
        <v/>
      </c>
      <c r="M566" s="25">
        <f>I566*J566</f>
        <v/>
      </c>
      <c r="N566" s="25">
        <f>L566-M566</f>
        <v/>
      </c>
      <c r="O566" s="26">
        <f>IFERROR(N566/L566,0)</f>
        <v/>
      </c>
      <c r="P566">
        <f>YEAR(A566)</f>
        <v/>
      </c>
      <c r="Q566">
        <f>TEXT(A566,"mmm")</f>
        <v/>
      </c>
      <c r="R566">
        <f>IF(B566&lt;25,"18-24",IF(B566&lt;35,"25-34",IF(B566&lt;45,"35-44","45+")))</f>
        <v/>
      </c>
    </row>
    <row r="567">
      <c r="A567" s="23" t="n">
        <v>44535</v>
      </c>
      <c r="B567" s="3" t="n">
        <v>42</v>
      </c>
      <c r="C567" s="3" t="inlineStr">
        <is>
          <t>M</t>
        </is>
      </c>
      <c r="D567" s="3" t="inlineStr">
        <is>
          <t>Germany</t>
        </is>
      </c>
      <c r="E567" s="3" t="inlineStr">
        <is>
          <t>Nordrhein-Westfalen</t>
        </is>
      </c>
      <c r="F567" s="3" t="inlineStr">
        <is>
          <t>Mountain Bikes</t>
        </is>
      </c>
      <c r="G567" s="3" t="inlineStr">
        <is>
          <t>Black</t>
        </is>
      </c>
      <c r="H567" s="3" t="inlineStr">
        <is>
          <t>Mountain-200 Black, 38</t>
        </is>
      </c>
      <c r="I567" s="4" t="n">
        <v>4</v>
      </c>
      <c r="J567" s="24" t="n">
        <v>550</v>
      </c>
      <c r="K567" s="24" t="n">
        <v>850</v>
      </c>
      <c r="L567" s="25">
        <f>I567*K567</f>
        <v/>
      </c>
      <c r="M567" s="25">
        <f>I567*J567</f>
        <v/>
      </c>
      <c r="N567" s="25">
        <f>L567-M567</f>
        <v/>
      </c>
      <c r="O567" s="26">
        <f>IFERROR(N567/L567,0)</f>
        <v/>
      </c>
      <c r="P567">
        <f>YEAR(A567)</f>
        <v/>
      </c>
      <c r="Q567">
        <f>TEXT(A567,"mmm")</f>
        <v/>
      </c>
      <c r="R567">
        <f>IF(B567&lt;25,"18-24",IF(B567&lt;35,"25-34",IF(B567&lt;45,"35-44","45+")))</f>
        <v/>
      </c>
    </row>
    <row r="568">
      <c r="A568" s="23" t="n">
        <v>44539</v>
      </c>
      <c r="B568" s="3" t="n">
        <v>42</v>
      </c>
      <c r="C568" s="3" t="inlineStr">
        <is>
          <t>F</t>
        </is>
      </c>
      <c r="D568" s="3" t="inlineStr">
        <is>
          <t>Australia</t>
        </is>
      </c>
      <c r="E568" s="3" t="inlineStr">
        <is>
          <t>New South Wales</t>
        </is>
      </c>
      <c r="F568" s="3" t="inlineStr">
        <is>
          <t>Road Bikes</t>
        </is>
      </c>
      <c r="G568" s="3" t="inlineStr">
        <is>
          <t>Red</t>
        </is>
      </c>
      <c r="H568" s="3" t="inlineStr">
        <is>
          <t>Road-150 Red, 62</t>
        </is>
      </c>
      <c r="I568" s="4" t="n">
        <v>1</v>
      </c>
      <c r="J568" s="24" t="n">
        <v>900</v>
      </c>
      <c r="K568" s="24" t="n">
        <v>1400</v>
      </c>
      <c r="L568" s="25">
        <f>I568*K568</f>
        <v/>
      </c>
      <c r="M568" s="25">
        <f>I568*J568</f>
        <v/>
      </c>
      <c r="N568" s="25">
        <f>L568-M568</f>
        <v/>
      </c>
      <c r="O568" s="26">
        <f>IFERROR(N568/L568,0)</f>
        <v/>
      </c>
      <c r="P568">
        <f>YEAR(A568)</f>
        <v/>
      </c>
      <c r="Q568">
        <f>TEXT(A568,"mmm")</f>
        <v/>
      </c>
      <c r="R568">
        <f>IF(B568&lt;25,"18-24",IF(B568&lt;35,"25-34",IF(B568&lt;45,"35-44","45+")))</f>
        <v/>
      </c>
    </row>
    <row r="569">
      <c r="A569" s="23" t="n">
        <v>44539</v>
      </c>
      <c r="B569" s="3" t="n">
        <v>42</v>
      </c>
      <c r="C569" s="3" t="inlineStr">
        <is>
          <t>F</t>
        </is>
      </c>
      <c r="D569" s="3" t="inlineStr">
        <is>
          <t>Germany</t>
        </is>
      </c>
      <c r="E569" s="3" t="inlineStr">
        <is>
          <t>Hessen</t>
        </is>
      </c>
      <c r="F569" s="3" t="inlineStr">
        <is>
          <t>Road Bikes</t>
        </is>
      </c>
      <c r="G569" s="3" t="inlineStr">
        <is>
          <t>Red</t>
        </is>
      </c>
      <c r="H569" s="3" t="inlineStr">
        <is>
          <t>Road-650 Red, 62</t>
        </is>
      </c>
      <c r="I569" s="4" t="n">
        <v>1</v>
      </c>
      <c r="J569" s="24" t="n">
        <v>620</v>
      </c>
      <c r="K569" s="24" t="n">
        <v>980</v>
      </c>
      <c r="L569" s="25">
        <f>I569*K569</f>
        <v/>
      </c>
      <c r="M569" s="25">
        <f>I569*J569</f>
        <v/>
      </c>
      <c r="N569" s="25">
        <f>L569-M569</f>
        <v/>
      </c>
      <c r="O569" s="26">
        <f>IFERROR(N569/L569,0)</f>
        <v/>
      </c>
      <c r="P569">
        <f>YEAR(A569)</f>
        <v/>
      </c>
      <c r="Q569">
        <f>TEXT(A569,"mmm")</f>
        <v/>
      </c>
      <c r="R569">
        <f>IF(B569&lt;25,"18-24",IF(B569&lt;35,"25-34",IF(B569&lt;45,"35-44","45+")))</f>
        <v/>
      </c>
    </row>
    <row r="570">
      <c r="A570" s="23" t="n">
        <v>44546</v>
      </c>
      <c r="B570" s="3" t="n">
        <v>42</v>
      </c>
      <c r="C570" s="3" t="inlineStr">
        <is>
          <t>F</t>
        </is>
      </c>
      <c r="D570" s="3" t="inlineStr">
        <is>
          <t>Australia</t>
        </is>
      </c>
      <c r="E570" s="3" t="inlineStr">
        <is>
          <t>Queensland</t>
        </is>
      </c>
      <c r="F570" s="3" t="inlineStr">
        <is>
          <t>Road Bikes</t>
        </is>
      </c>
      <c r="G570" s="3" t="inlineStr">
        <is>
          <t>Yellow</t>
        </is>
      </c>
      <c r="H570" s="3" t="inlineStr">
        <is>
          <t>Road-550-W Yellow, 40</t>
        </is>
      </c>
      <c r="I570" s="4" t="n">
        <v>1</v>
      </c>
      <c r="J570" s="24" t="n">
        <v>500</v>
      </c>
      <c r="K570" s="24" t="n">
        <v>800</v>
      </c>
      <c r="L570" s="25">
        <f>I570*K570</f>
        <v/>
      </c>
      <c r="M570" s="25">
        <f>I570*J570</f>
        <v/>
      </c>
      <c r="N570" s="25">
        <f>L570-M570</f>
        <v/>
      </c>
      <c r="O570" s="26">
        <f>IFERROR(N570/L570,0)</f>
        <v/>
      </c>
      <c r="P570">
        <f>YEAR(A570)</f>
        <v/>
      </c>
      <c r="Q570">
        <f>TEXT(A570,"mmm")</f>
        <v/>
      </c>
      <c r="R570">
        <f>IF(B570&lt;25,"18-24",IF(B570&lt;35,"25-34",IF(B570&lt;45,"35-44","45+")))</f>
        <v/>
      </c>
    </row>
    <row r="571">
      <c r="A571" s="23" t="n">
        <v>44547</v>
      </c>
      <c r="B571" s="3" t="n">
        <v>42</v>
      </c>
      <c r="C571" s="3" t="inlineStr">
        <is>
          <t>F</t>
        </is>
      </c>
      <c r="D571" s="3" t="inlineStr">
        <is>
          <t>Australia</t>
        </is>
      </c>
      <c r="E571" s="3" t="inlineStr">
        <is>
          <t>Victoria</t>
        </is>
      </c>
      <c r="F571" s="3" t="inlineStr">
        <is>
          <t>Road Bikes</t>
        </is>
      </c>
      <c r="G571" s="3" t="inlineStr">
        <is>
          <t>Black</t>
        </is>
      </c>
      <c r="H571" s="3" t="inlineStr">
        <is>
          <t>Road-750 Black, 48</t>
        </is>
      </c>
      <c r="I571" s="4" t="n">
        <v>4</v>
      </c>
      <c r="J571" s="24" t="n">
        <v>700</v>
      </c>
      <c r="K571" s="24" t="n">
        <v>1100</v>
      </c>
      <c r="L571" s="25">
        <f>I571*K571</f>
        <v/>
      </c>
      <c r="M571" s="25">
        <f>I571*J571</f>
        <v/>
      </c>
      <c r="N571" s="25">
        <f>L571-M571</f>
        <v/>
      </c>
      <c r="O571" s="26">
        <f>IFERROR(N571/L571,0)</f>
        <v/>
      </c>
      <c r="P571">
        <f>YEAR(A571)</f>
        <v/>
      </c>
      <c r="Q571">
        <f>TEXT(A571,"mmm")</f>
        <v/>
      </c>
      <c r="R571">
        <f>IF(B571&lt;25,"18-24",IF(B571&lt;35,"25-34",IF(B571&lt;45,"35-44","45+")))</f>
        <v/>
      </c>
    </row>
    <row r="572">
      <c r="A572" s="23" t="n">
        <v>44547</v>
      </c>
      <c r="B572" s="3" t="n">
        <v>42</v>
      </c>
      <c r="C572" s="3" t="inlineStr">
        <is>
          <t>F</t>
        </is>
      </c>
      <c r="D572" s="3" t="inlineStr">
        <is>
          <t>Germany</t>
        </is>
      </c>
      <c r="E572" s="3" t="inlineStr">
        <is>
          <t>Nordrhein-Westfalen</t>
        </is>
      </c>
      <c r="F572" s="3" t="inlineStr">
        <is>
          <t>Mountain Bikes</t>
        </is>
      </c>
      <c r="G572" s="3" t="inlineStr">
        <is>
          <t>Silver</t>
        </is>
      </c>
      <c r="H572" s="3" t="inlineStr">
        <is>
          <t>Mountain-200 Silver, 46</t>
        </is>
      </c>
      <c r="I572" s="4" t="n">
        <v>1</v>
      </c>
      <c r="J572" s="24" t="n">
        <v>550</v>
      </c>
      <c r="K572" s="24" t="n">
        <v>850</v>
      </c>
      <c r="L572" s="25">
        <f>I572*K572</f>
        <v/>
      </c>
      <c r="M572" s="25">
        <f>I572*J572</f>
        <v/>
      </c>
      <c r="N572" s="25">
        <f>L572-M572</f>
        <v/>
      </c>
      <c r="O572" s="26">
        <f>IFERROR(N572/L572,0)</f>
        <v/>
      </c>
      <c r="P572">
        <f>YEAR(A572)</f>
        <v/>
      </c>
      <c r="Q572">
        <f>TEXT(A572,"mmm")</f>
        <v/>
      </c>
      <c r="R572">
        <f>IF(B572&lt;25,"18-24",IF(B572&lt;35,"25-34",IF(B572&lt;45,"35-44","45+")))</f>
        <v/>
      </c>
    </row>
    <row r="573">
      <c r="A573" s="23" t="n">
        <v>44547</v>
      </c>
      <c r="B573" s="3" t="n">
        <v>42</v>
      </c>
      <c r="C573" s="3" t="inlineStr">
        <is>
          <t>F</t>
        </is>
      </c>
      <c r="D573" s="3" t="inlineStr">
        <is>
          <t>Australia</t>
        </is>
      </c>
      <c r="E573" s="3" t="inlineStr">
        <is>
          <t>Queensland</t>
        </is>
      </c>
      <c r="F573" s="3" t="inlineStr">
        <is>
          <t>Road Bikes</t>
        </is>
      </c>
      <c r="G573" s="3" t="inlineStr">
        <is>
          <t>Yellow</t>
        </is>
      </c>
      <c r="H573" s="3" t="inlineStr">
        <is>
          <t>Road-550-W Yellow, 40</t>
        </is>
      </c>
      <c r="I573" s="4" t="n">
        <v>1</v>
      </c>
      <c r="J573" s="24" t="n">
        <v>500</v>
      </c>
      <c r="K573" s="24" t="n">
        <v>800</v>
      </c>
      <c r="L573" s="25">
        <f>I573*K573</f>
        <v/>
      </c>
      <c r="M573" s="25">
        <f>I573*J573</f>
        <v/>
      </c>
      <c r="N573" s="25">
        <f>L573-M573</f>
        <v/>
      </c>
      <c r="O573" s="26">
        <f>IFERROR(N573/L573,0)</f>
        <v/>
      </c>
      <c r="P573">
        <f>YEAR(A573)</f>
        <v/>
      </c>
      <c r="Q573">
        <f>TEXT(A573,"mmm")</f>
        <v/>
      </c>
      <c r="R573">
        <f>IF(B573&lt;25,"18-24",IF(B573&lt;35,"25-34",IF(B573&lt;45,"35-44","45+")))</f>
        <v/>
      </c>
    </row>
    <row r="574">
      <c r="A574" s="23" t="n">
        <v>44550</v>
      </c>
      <c r="B574" s="3" t="n">
        <v>42</v>
      </c>
      <c r="C574" s="3" t="inlineStr">
        <is>
          <t>M</t>
        </is>
      </c>
      <c r="D574" s="3" t="inlineStr">
        <is>
          <t>Australia</t>
        </is>
      </c>
      <c r="E574" s="3" t="inlineStr">
        <is>
          <t>New South Wales</t>
        </is>
      </c>
      <c r="F574" s="3" t="inlineStr">
        <is>
          <t>Road Bikes</t>
        </is>
      </c>
      <c r="G574" s="3" t="inlineStr">
        <is>
          <t>Red</t>
        </is>
      </c>
      <c r="H574" s="3" t="inlineStr">
        <is>
          <t>Road-150 Red, 44</t>
        </is>
      </c>
      <c r="I574" s="4" t="n">
        <v>3</v>
      </c>
      <c r="J574" s="24" t="n">
        <v>900</v>
      </c>
      <c r="K574" s="24" t="n">
        <v>1400</v>
      </c>
      <c r="L574" s="25">
        <f>I574*K574</f>
        <v/>
      </c>
      <c r="M574" s="25">
        <f>I574*J574</f>
        <v/>
      </c>
      <c r="N574" s="25">
        <f>L574-M574</f>
        <v/>
      </c>
      <c r="O574" s="26">
        <f>IFERROR(N574/L574,0)</f>
        <v/>
      </c>
      <c r="P574">
        <f>YEAR(A574)</f>
        <v/>
      </c>
      <c r="Q574">
        <f>TEXT(A574,"mmm")</f>
        <v/>
      </c>
      <c r="R574">
        <f>IF(B574&lt;25,"18-24",IF(B574&lt;35,"25-34",IF(B574&lt;45,"35-44","45+")))</f>
        <v/>
      </c>
    </row>
    <row r="575">
      <c r="A575" s="23" t="n">
        <v>44552</v>
      </c>
      <c r="B575" s="3" t="n">
        <v>42</v>
      </c>
      <c r="C575" s="3" t="inlineStr">
        <is>
          <t>M</t>
        </is>
      </c>
      <c r="D575" s="3" t="inlineStr">
        <is>
          <t>United Kingdom</t>
        </is>
      </c>
      <c r="E575" s="3" t="inlineStr">
        <is>
          <t>England</t>
        </is>
      </c>
      <c r="F575" s="3" t="inlineStr">
        <is>
          <t>Road Bikes</t>
        </is>
      </c>
      <c r="G575" s="3" t="inlineStr">
        <is>
          <t>Red</t>
        </is>
      </c>
      <c r="H575" s="3" t="inlineStr">
        <is>
          <t>Road-650 Red, 58</t>
        </is>
      </c>
      <c r="I575" s="4" t="n">
        <v>1</v>
      </c>
      <c r="J575" s="24" t="n">
        <v>620</v>
      </c>
      <c r="K575" s="24" t="n">
        <v>980</v>
      </c>
      <c r="L575" s="25">
        <f>I575*K575</f>
        <v/>
      </c>
      <c r="M575" s="25">
        <f>I575*J575</f>
        <v/>
      </c>
      <c r="N575" s="25">
        <f>L575-M575</f>
        <v/>
      </c>
      <c r="O575" s="26">
        <f>IFERROR(N575/L575,0)</f>
        <v/>
      </c>
      <c r="P575">
        <f>YEAR(A575)</f>
        <v/>
      </c>
      <c r="Q575">
        <f>TEXT(A575,"mmm")</f>
        <v/>
      </c>
      <c r="R575">
        <f>IF(B575&lt;25,"18-24",IF(B575&lt;35,"25-34",IF(B575&lt;45,"35-44","45+")))</f>
        <v/>
      </c>
    </row>
    <row r="576">
      <c r="A576" s="23" t="n">
        <v>44556</v>
      </c>
      <c r="B576" s="3" t="n">
        <v>42</v>
      </c>
      <c r="C576" s="3" t="inlineStr">
        <is>
          <t>M</t>
        </is>
      </c>
      <c r="D576" s="3" t="inlineStr">
        <is>
          <t>United States</t>
        </is>
      </c>
      <c r="E576" s="3" t="inlineStr">
        <is>
          <t>Washington</t>
        </is>
      </c>
      <c r="F576" s="3" t="inlineStr">
        <is>
          <t>Road Bikes</t>
        </is>
      </c>
      <c r="G576" s="3" t="inlineStr">
        <is>
          <t>Black</t>
        </is>
      </c>
      <c r="H576" s="3" t="inlineStr">
        <is>
          <t>Road-750 Black, 44</t>
        </is>
      </c>
      <c r="I576" s="4" t="n">
        <v>1</v>
      </c>
      <c r="J576" s="24" t="n">
        <v>700</v>
      </c>
      <c r="K576" s="24" t="n">
        <v>1100</v>
      </c>
      <c r="L576" s="25">
        <f>I576*K576</f>
        <v/>
      </c>
      <c r="M576" s="25">
        <f>I576*J576</f>
        <v/>
      </c>
      <c r="N576" s="25">
        <f>L576-M576</f>
        <v/>
      </c>
      <c r="O576" s="26">
        <f>IFERROR(N576/L576,0)</f>
        <v/>
      </c>
      <c r="P576">
        <f>YEAR(A576)</f>
        <v/>
      </c>
      <c r="Q576">
        <f>TEXT(A576,"mmm")</f>
        <v/>
      </c>
      <c r="R576">
        <f>IF(B576&lt;25,"18-24",IF(B576&lt;35,"25-34",IF(B576&lt;45,"35-44","45+")))</f>
        <v/>
      </c>
    </row>
    <row r="577">
      <c r="A577" s="23" t="n">
        <v>44557</v>
      </c>
      <c r="B577" s="3" t="n">
        <v>42</v>
      </c>
      <c r="C577" s="3" t="inlineStr">
        <is>
          <t>F</t>
        </is>
      </c>
      <c r="D577" s="3" t="inlineStr">
        <is>
          <t>United States</t>
        </is>
      </c>
      <c r="E577" s="3" t="inlineStr">
        <is>
          <t>California</t>
        </is>
      </c>
      <c r="F577" s="3" t="inlineStr">
        <is>
          <t>Road Bikes</t>
        </is>
      </c>
      <c r="G577" s="3" t="inlineStr">
        <is>
          <t>Black</t>
        </is>
      </c>
      <c r="H577" s="3" t="inlineStr">
        <is>
          <t>Road-250 Black, 52</t>
        </is>
      </c>
      <c r="I577" s="4" t="n">
        <v>1</v>
      </c>
      <c r="J577" s="24" t="n">
        <v>580</v>
      </c>
      <c r="K577" s="24" t="n">
        <v>920</v>
      </c>
      <c r="L577" s="25">
        <f>I577*K577</f>
        <v/>
      </c>
      <c r="M577" s="25">
        <f>I577*J577</f>
        <v/>
      </c>
      <c r="N577" s="25">
        <f>L577-M577</f>
        <v/>
      </c>
      <c r="O577" s="26">
        <f>IFERROR(N577/L577,0)</f>
        <v/>
      </c>
      <c r="P577">
        <f>YEAR(A577)</f>
        <v/>
      </c>
      <c r="Q577">
        <f>TEXT(A577,"mmm")</f>
        <v/>
      </c>
      <c r="R577">
        <f>IF(B577&lt;25,"18-24",IF(B577&lt;35,"25-34",IF(B577&lt;45,"35-44","45+")))</f>
        <v/>
      </c>
    </row>
    <row r="578">
      <c r="A578" s="23" t="n">
        <v>44471</v>
      </c>
      <c r="B578" s="3" t="n">
        <v>43</v>
      </c>
      <c r="C578" s="3" t="inlineStr">
        <is>
          <t>M</t>
        </is>
      </c>
      <c r="D578" s="3" t="inlineStr">
        <is>
          <t>Australia</t>
        </is>
      </c>
      <c r="E578" s="3" t="inlineStr">
        <is>
          <t>New South Wales</t>
        </is>
      </c>
      <c r="F578" s="3" t="inlineStr">
        <is>
          <t>Road Bikes</t>
        </is>
      </c>
      <c r="G578" s="3" t="inlineStr">
        <is>
          <t>Red</t>
        </is>
      </c>
      <c r="H578" s="3" t="inlineStr">
        <is>
          <t>Road-150 Red, 52</t>
        </is>
      </c>
      <c r="I578" s="4" t="n">
        <v>1</v>
      </c>
      <c r="J578" s="24" t="n">
        <v>900</v>
      </c>
      <c r="K578" s="24" t="n">
        <v>1400</v>
      </c>
      <c r="L578" s="25">
        <f>I578*K578</f>
        <v/>
      </c>
      <c r="M578" s="25">
        <f>I578*J578</f>
        <v/>
      </c>
      <c r="N578" s="25">
        <f>L578-M578</f>
        <v/>
      </c>
      <c r="O578" s="26">
        <f>IFERROR(N578/L578,0)</f>
        <v/>
      </c>
      <c r="P578">
        <f>YEAR(A578)</f>
        <v/>
      </c>
      <c r="Q578">
        <f>TEXT(A578,"mmm")</f>
        <v/>
      </c>
      <c r="R578">
        <f>IF(B578&lt;25,"18-24",IF(B578&lt;35,"25-34",IF(B578&lt;45,"35-44","45+")))</f>
        <v/>
      </c>
    </row>
    <row r="579">
      <c r="A579" s="23" t="n">
        <v>44476</v>
      </c>
      <c r="B579" s="3" t="n">
        <v>43</v>
      </c>
      <c r="C579" s="3" t="inlineStr">
        <is>
          <t>M</t>
        </is>
      </c>
      <c r="D579" s="3" t="inlineStr">
        <is>
          <t>Australia</t>
        </is>
      </c>
      <c r="E579" s="3" t="inlineStr">
        <is>
          <t>New South Wales</t>
        </is>
      </c>
      <c r="F579" s="3" t="inlineStr">
        <is>
          <t>Road Bikes</t>
        </is>
      </c>
      <c r="G579" s="3" t="inlineStr">
        <is>
          <t>Red</t>
        </is>
      </c>
      <c r="H579" s="3" t="inlineStr">
        <is>
          <t>Road-150 Red, 52</t>
        </is>
      </c>
      <c r="I579" s="4" t="n">
        <v>4</v>
      </c>
      <c r="J579" s="24" t="n">
        <v>900</v>
      </c>
      <c r="K579" s="24" t="n">
        <v>1400</v>
      </c>
      <c r="L579" s="25">
        <f>I579*K579</f>
        <v/>
      </c>
      <c r="M579" s="25">
        <f>I579*J579</f>
        <v/>
      </c>
      <c r="N579" s="25">
        <f>L579-M579</f>
        <v/>
      </c>
      <c r="O579" s="26">
        <f>IFERROR(N579/L579,0)</f>
        <v/>
      </c>
      <c r="P579">
        <f>YEAR(A579)</f>
        <v/>
      </c>
      <c r="Q579">
        <f>TEXT(A579,"mmm")</f>
        <v/>
      </c>
      <c r="R579">
        <f>IF(B579&lt;25,"18-24",IF(B579&lt;35,"25-34",IF(B579&lt;45,"35-44","45+")))</f>
        <v/>
      </c>
    </row>
    <row r="580">
      <c r="A580" s="23" t="n">
        <v>44478</v>
      </c>
      <c r="B580" s="3" t="n">
        <v>43</v>
      </c>
      <c r="C580" s="3" t="inlineStr">
        <is>
          <t>M</t>
        </is>
      </c>
      <c r="D580" s="3" t="inlineStr">
        <is>
          <t>United Kingdom</t>
        </is>
      </c>
      <c r="E580" s="3" t="inlineStr">
        <is>
          <t>England</t>
        </is>
      </c>
      <c r="F580" s="3" t="inlineStr">
        <is>
          <t>Road Bikes</t>
        </is>
      </c>
      <c r="G580" s="3" t="inlineStr">
        <is>
          <t>Yellow</t>
        </is>
      </c>
      <c r="H580" s="3" t="inlineStr">
        <is>
          <t>Road-550-W Yellow, 48</t>
        </is>
      </c>
      <c r="I580" s="4" t="n">
        <v>2</v>
      </c>
      <c r="J580" s="24" t="n">
        <v>500</v>
      </c>
      <c r="K580" s="24" t="n">
        <v>800</v>
      </c>
      <c r="L580" s="25">
        <f>I580*K580</f>
        <v/>
      </c>
      <c r="M580" s="25">
        <f>I580*J580</f>
        <v/>
      </c>
      <c r="N580" s="25">
        <f>L580-M580</f>
        <v/>
      </c>
      <c r="O580" s="26">
        <f>IFERROR(N580/L580,0)</f>
        <v/>
      </c>
      <c r="P580">
        <f>YEAR(A580)</f>
        <v/>
      </c>
      <c r="Q580">
        <f>TEXT(A580,"mmm")</f>
        <v/>
      </c>
      <c r="R580">
        <f>IF(B580&lt;25,"18-24",IF(B580&lt;35,"25-34",IF(B580&lt;45,"35-44","45+")))</f>
        <v/>
      </c>
    </row>
    <row r="581">
      <c r="A581" s="23" t="n">
        <v>44482</v>
      </c>
      <c r="B581" s="3" t="n">
        <v>43</v>
      </c>
      <c r="C581" s="3" t="inlineStr">
        <is>
          <t>M</t>
        </is>
      </c>
      <c r="D581" s="3" t="inlineStr">
        <is>
          <t>Australia</t>
        </is>
      </c>
      <c r="E581" s="3" t="inlineStr">
        <is>
          <t>New South Wales</t>
        </is>
      </c>
      <c r="F581" s="3" t="inlineStr">
        <is>
          <t>Mountain Bikes</t>
        </is>
      </c>
      <c r="G581" s="3" t="inlineStr">
        <is>
          <t>Black</t>
        </is>
      </c>
      <c r="H581" s="3" t="inlineStr">
        <is>
          <t>Mountain-200 Black, 42</t>
        </is>
      </c>
      <c r="I581" s="4" t="n">
        <v>3</v>
      </c>
      <c r="J581" s="24" t="n">
        <v>550</v>
      </c>
      <c r="K581" s="24" t="n">
        <v>850</v>
      </c>
      <c r="L581" s="25">
        <f>I581*K581</f>
        <v/>
      </c>
      <c r="M581" s="25">
        <f>I581*J581</f>
        <v/>
      </c>
      <c r="N581" s="25">
        <f>L581-M581</f>
        <v/>
      </c>
      <c r="O581" s="26">
        <f>IFERROR(N581/L581,0)</f>
        <v/>
      </c>
      <c r="P581">
        <f>YEAR(A581)</f>
        <v/>
      </c>
      <c r="Q581">
        <f>TEXT(A581,"mmm")</f>
        <v/>
      </c>
      <c r="R581">
        <f>IF(B581&lt;25,"18-24",IF(B581&lt;35,"25-34",IF(B581&lt;45,"35-44","45+")))</f>
        <v/>
      </c>
    </row>
    <row r="582">
      <c r="A582" s="23" t="n">
        <v>44484</v>
      </c>
      <c r="B582" s="3" t="n">
        <v>43</v>
      </c>
      <c r="C582" s="3" t="inlineStr">
        <is>
          <t>F</t>
        </is>
      </c>
      <c r="D582" s="3" t="inlineStr">
        <is>
          <t>United States</t>
        </is>
      </c>
      <c r="E582" s="3" t="inlineStr">
        <is>
          <t>Washington</t>
        </is>
      </c>
      <c r="F582" s="3" t="inlineStr">
        <is>
          <t>Road Bikes</t>
        </is>
      </c>
      <c r="G582" s="3" t="inlineStr">
        <is>
          <t>Red</t>
        </is>
      </c>
      <c r="H582" s="3" t="inlineStr">
        <is>
          <t>Road-150 Red, 62</t>
        </is>
      </c>
      <c r="I582" s="4" t="n">
        <v>3</v>
      </c>
      <c r="J582" s="24" t="n">
        <v>900</v>
      </c>
      <c r="K582" s="24" t="n">
        <v>1400</v>
      </c>
      <c r="L582" s="25">
        <f>I582*K582</f>
        <v/>
      </c>
      <c r="M582" s="25">
        <f>I582*J582</f>
        <v/>
      </c>
      <c r="N582" s="25">
        <f>L582-M582</f>
        <v/>
      </c>
      <c r="O582" s="26">
        <f>IFERROR(N582/L582,0)</f>
        <v/>
      </c>
      <c r="P582">
        <f>YEAR(A582)</f>
        <v/>
      </c>
      <c r="Q582">
        <f>TEXT(A582,"mmm")</f>
        <v/>
      </c>
      <c r="R582">
        <f>IF(B582&lt;25,"18-24",IF(B582&lt;35,"25-34",IF(B582&lt;45,"35-44","45+")))</f>
        <v/>
      </c>
    </row>
    <row r="583">
      <c r="A583" s="23" t="n">
        <v>44492</v>
      </c>
      <c r="B583" s="3" t="n">
        <v>43</v>
      </c>
      <c r="C583" s="3" t="inlineStr">
        <is>
          <t>M</t>
        </is>
      </c>
      <c r="D583" s="3" t="inlineStr">
        <is>
          <t>France</t>
        </is>
      </c>
      <c r="E583" s="3" t="inlineStr">
        <is>
          <t>Seine Saint Denis</t>
        </is>
      </c>
      <c r="F583" s="3" t="inlineStr">
        <is>
          <t>Road Bikes</t>
        </is>
      </c>
      <c r="G583" s="3" t="inlineStr">
        <is>
          <t>Black</t>
        </is>
      </c>
      <c r="H583" s="3" t="inlineStr">
        <is>
          <t>Road-250 Black, 52</t>
        </is>
      </c>
      <c r="I583" s="4" t="n">
        <v>1</v>
      </c>
      <c r="J583" s="24" t="n">
        <v>580</v>
      </c>
      <c r="K583" s="24" t="n">
        <v>920</v>
      </c>
      <c r="L583" s="25">
        <f>I583*K583</f>
        <v/>
      </c>
      <c r="M583" s="25">
        <f>I583*J583</f>
        <v/>
      </c>
      <c r="N583" s="25">
        <f>L583-M583</f>
        <v/>
      </c>
      <c r="O583" s="26">
        <f>IFERROR(N583/L583,0)</f>
        <v/>
      </c>
      <c r="P583">
        <f>YEAR(A583)</f>
        <v/>
      </c>
      <c r="Q583">
        <f>TEXT(A583,"mmm")</f>
        <v/>
      </c>
      <c r="R583">
        <f>IF(B583&lt;25,"18-24",IF(B583&lt;35,"25-34",IF(B583&lt;45,"35-44","45+")))</f>
        <v/>
      </c>
    </row>
    <row r="584">
      <c r="A584" s="23" t="n">
        <v>44499</v>
      </c>
      <c r="B584" s="3" t="n">
        <v>43</v>
      </c>
      <c r="C584" s="3" t="inlineStr">
        <is>
          <t>F</t>
        </is>
      </c>
      <c r="D584" s="3" t="inlineStr">
        <is>
          <t>United States</t>
        </is>
      </c>
      <c r="E584" s="3" t="inlineStr">
        <is>
          <t>California</t>
        </is>
      </c>
      <c r="F584" s="3" t="inlineStr">
        <is>
          <t>Road Bikes</t>
        </is>
      </c>
      <c r="G584" s="3" t="inlineStr">
        <is>
          <t>Red</t>
        </is>
      </c>
      <c r="H584" s="3" t="inlineStr">
        <is>
          <t>Road-150 Red, 44</t>
        </is>
      </c>
      <c r="I584" s="4" t="n">
        <v>1</v>
      </c>
      <c r="J584" s="24" t="n">
        <v>900</v>
      </c>
      <c r="K584" s="24" t="n">
        <v>1400</v>
      </c>
      <c r="L584" s="25">
        <f>I584*K584</f>
        <v/>
      </c>
      <c r="M584" s="25">
        <f>I584*J584</f>
        <v/>
      </c>
      <c r="N584" s="25">
        <f>L584-M584</f>
        <v/>
      </c>
      <c r="O584" s="26">
        <f>IFERROR(N584/L584,0)</f>
        <v/>
      </c>
      <c r="P584">
        <f>YEAR(A584)</f>
        <v/>
      </c>
      <c r="Q584">
        <f>TEXT(A584,"mmm")</f>
        <v/>
      </c>
      <c r="R584">
        <f>IF(B584&lt;25,"18-24",IF(B584&lt;35,"25-34",IF(B584&lt;45,"35-44","45+")))</f>
        <v/>
      </c>
    </row>
    <row r="585">
      <c r="A585" s="23" t="n">
        <v>44537</v>
      </c>
      <c r="B585" s="3" t="n">
        <v>43</v>
      </c>
      <c r="C585" s="3" t="inlineStr">
        <is>
          <t>F</t>
        </is>
      </c>
      <c r="D585" s="3" t="inlineStr">
        <is>
          <t>United States</t>
        </is>
      </c>
      <c r="E585" s="3" t="inlineStr">
        <is>
          <t>California</t>
        </is>
      </c>
      <c r="F585" s="3" t="inlineStr">
        <is>
          <t>Road Bikes</t>
        </is>
      </c>
      <c r="G585" s="3" t="inlineStr">
        <is>
          <t>Red</t>
        </is>
      </c>
      <c r="H585" s="3" t="inlineStr">
        <is>
          <t>Road-150 Red, 44</t>
        </is>
      </c>
      <c r="I585" s="4" t="n">
        <v>2</v>
      </c>
      <c r="J585" s="24" t="n">
        <v>900</v>
      </c>
      <c r="K585" s="24" t="n">
        <v>1400</v>
      </c>
      <c r="L585" s="25">
        <f>I585*K585</f>
        <v/>
      </c>
      <c r="M585" s="25">
        <f>I585*J585</f>
        <v/>
      </c>
      <c r="N585" s="25">
        <f>L585-M585</f>
        <v/>
      </c>
      <c r="O585" s="26">
        <f>IFERROR(N585/L585,0)</f>
        <v/>
      </c>
      <c r="P585">
        <f>YEAR(A585)</f>
        <v/>
      </c>
      <c r="Q585">
        <f>TEXT(A585,"mmm")</f>
        <v/>
      </c>
      <c r="R585">
        <f>IF(B585&lt;25,"18-24",IF(B585&lt;35,"25-34",IF(B585&lt;45,"35-44","45+")))</f>
        <v/>
      </c>
    </row>
    <row r="586">
      <c r="A586" s="23" t="n">
        <v>44537</v>
      </c>
      <c r="B586" s="3" t="n">
        <v>43</v>
      </c>
      <c r="C586" s="3" t="inlineStr">
        <is>
          <t>M</t>
        </is>
      </c>
      <c r="D586" s="3" t="inlineStr">
        <is>
          <t>Australia</t>
        </is>
      </c>
      <c r="E586" s="3" t="inlineStr">
        <is>
          <t>Queensland</t>
        </is>
      </c>
      <c r="F586" s="3" t="inlineStr">
        <is>
          <t>Road Bikes</t>
        </is>
      </c>
      <c r="G586" s="3" t="inlineStr">
        <is>
          <t>Red</t>
        </is>
      </c>
      <c r="H586" s="3" t="inlineStr">
        <is>
          <t>Road-150 Red, 52</t>
        </is>
      </c>
      <c r="I586" s="4" t="n">
        <v>1</v>
      </c>
      <c r="J586" s="24" t="n">
        <v>900</v>
      </c>
      <c r="K586" s="24" t="n">
        <v>1400</v>
      </c>
      <c r="L586" s="25">
        <f>I586*K586</f>
        <v/>
      </c>
      <c r="M586" s="25">
        <f>I586*J586</f>
        <v/>
      </c>
      <c r="N586" s="25">
        <f>L586-M586</f>
        <v/>
      </c>
      <c r="O586" s="26">
        <f>IFERROR(N586/L586,0)</f>
        <v/>
      </c>
      <c r="P586">
        <f>YEAR(A586)</f>
        <v/>
      </c>
      <c r="Q586">
        <f>TEXT(A586,"mmm")</f>
        <v/>
      </c>
      <c r="R586">
        <f>IF(B586&lt;25,"18-24",IF(B586&lt;35,"25-34",IF(B586&lt;45,"35-44","45+")))</f>
        <v/>
      </c>
    </row>
    <row r="587">
      <c r="A587" s="23" t="n">
        <v>44540</v>
      </c>
      <c r="B587" s="3" t="n">
        <v>43</v>
      </c>
      <c r="C587" s="3" t="inlineStr">
        <is>
          <t>F</t>
        </is>
      </c>
      <c r="D587" s="3" t="inlineStr">
        <is>
          <t>Australia</t>
        </is>
      </c>
      <c r="E587" s="3" t="inlineStr">
        <is>
          <t>Victoria</t>
        </is>
      </c>
      <c r="F587" s="3" t="inlineStr">
        <is>
          <t>Road Bikes</t>
        </is>
      </c>
      <c r="G587" s="3" t="inlineStr">
        <is>
          <t>Yellow</t>
        </is>
      </c>
      <c r="H587" s="3" t="inlineStr">
        <is>
          <t>Road-350-W Yellow, 44</t>
        </is>
      </c>
      <c r="I587" s="4" t="n">
        <v>4</v>
      </c>
      <c r="J587" s="24" t="n">
        <v>530</v>
      </c>
      <c r="K587" s="24" t="n">
        <v>840</v>
      </c>
      <c r="L587" s="25">
        <f>I587*K587</f>
        <v/>
      </c>
      <c r="M587" s="25">
        <f>I587*J587</f>
        <v/>
      </c>
      <c r="N587" s="25">
        <f>L587-M587</f>
        <v/>
      </c>
      <c r="O587" s="26">
        <f>IFERROR(N587/L587,0)</f>
        <v/>
      </c>
      <c r="P587">
        <f>YEAR(A587)</f>
        <v/>
      </c>
      <c r="Q587">
        <f>TEXT(A587,"mmm")</f>
        <v/>
      </c>
      <c r="R587">
        <f>IF(B587&lt;25,"18-24",IF(B587&lt;35,"25-34",IF(B587&lt;45,"35-44","45+")))</f>
        <v/>
      </c>
    </row>
    <row r="588">
      <c r="A588" s="23" t="n">
        <v>44542</v>
      </c>
      <c r="B588" s="3" t="n">
        <v>43</v>
      </c>
      <c r="C588" s="3" t="inlineStr">
        <is>
          <t>M</t>
        </is>
      </c>
      <c r="D588" s="3" t="inlineStr">
        <is>
          <t>United States</t>
        </is>
      </c>
      <c r="E588" s="3" t="inlineStr">
        <is>
          <t>California</t>
        </is>
      </c>
      <c r="F588" s="3" t="inlineStr">
        <is>
          <t>Road Bikes</t>
        </is>
      </c>
      <c r="G588" s="3" t="inlineStr">
        <is>
          <t>Red</t>
        </is>
      </c>
      <c r="H588" s="3" t="inlineStr">
        <is>
          <t>Road-150 Red, 48</t>
        </is>
      </c>
      <c r="I588" s="4" t="n">
        <v>3</v>
      </c>
      <c r="J588" s="24" t="n">
        <v>900</v>
      </c>
      <c r="K588" s="24" t="n">
        <v>1400</v>
      </c>
      <c r="L588" s="25">
        <f>I588*K588</f>
        <v/>
      </c>
      <c r="M588" s="25">
        <f>I588*J588</f>
        <v/>
      </c>
      <c r="N588" s="25">
        <f>L588-M588</f>
        <v/>
      </c>
      <c r="O588" s="26">
        <f>IFERROR(N588/L588,0)</f>
        <v/>
      </c>
      <c r="P588">
        <f>YEAR(A588)</f>
        <v/>
      </c>
      <c r="Q588">
        <f>TEXT(A588,"mmm")</f>
        <v/>
      </c>
      <c r="R588">
        <f>IF(B588&lt;25,"18-24",IF(B588&lt;35,"25-34",IF(B588&lt;45,"35-44","45+")))</f>
        <v/>
      </c>
    </row>
    <row r="589">
      <c r="A589" s="23" t="n">
        <v>44544</v>
      </c>
      <c r="B589" s="3" t="n">
        <v>43</v>
      </c>
      <c r="C589" s="3" t="inlineStr">
        <is>
          <t>F</t>
        </is>
      </c>
      <c r="D589" s="3" t="inlineStr">
        <is>
          <t>United States</t>
        </is>
      </c>
      <c r="E589" s="3" t="inlineStr">
        <is>
          <t>California</t>
        </is>
      </c>
      <c r="F589" s="3" t="inlineStr">
        <is>
          <t>Road Bikes</t>
        </is>
      </c>
      <c r="G589" s="3" t="inlineStr">
        <is>
          <t>Red</t>
        </is>
      </c>
      <c r="H589" s="3" t="inlineStr">
        <is>
          <t>Road-150 Red, 44</t>
        </is>
      </c>
      <c r="I589" s="4" t="n">
        <v>2</v>
      </c>
      <c r="J589" s="24" t="n">
        <v>900</v>
      </c>
      <c r="K589" s="24" t="n">
        <v>1400</v>
      </c>
      <c r="L589" s="25">
        <f>I589*K589</f>
        <v/>
      </c>
      <c r="M589" s="25">
        <f>I589*J589</f>
        <v/>
      </c>
      <c r="N589" s="25">
        <f>L589-M589</f>
        <v/>
      </c>
      <c r="O589" s="26">
        <f>IFERROR(N589/L589,0)</f>
        <v/>
      </c>
      <c r="P589">
        <f>YEAR(A589)</f>
        <v/>
      </c>
      <c r="Q589">
        <f>TEXT(A589,"mmm")</f>
        <v/>
      </c>
      <c r="R589">
        <f>IF(B589&lt;25,"18-24",IF(B589&lt;35,"25-34",IF(B589&lt;45,"35-44","45+")))</f>
        <v/>
      </c>
    </row>
    <row r="590">
      <c r="A590" s="23" t="n">
        <v>44546</v>
      </c>
      <c r="B590" s="3" t="n">
        <v>43</v>
      </c>
      <c r="C590" s="3" t="inlineStr">
        <is>
          <t>M</t>
        </is>
      </c>
      <c r="D590" s="3" t="inlineStr">
        <is>
          <t>United States</t>
        </is>
      </c>
      <c r="E590" s="3" t="inlineStr">
        <is>
          <t>California</t>
        </is>
      </c>
      <c r="F590" s="3" t="inlineStr">
        <is>
          <t>Road Bikes</t>
        </is>
      </c>
      <c r="G590" s="3" t="inlineStr">
        <is>
          <t>Red</t>
        </is>
      </c>
      <c r="H590" s="3" t="inlineStr">
        <is>
          <t>Road-150 Red, 48</t>
        </is>
      </c>
      <c r="I590" s="4" t="n">
        <v>1</v>
      </c>
      <c r="J590" s="24" t="n">
        <v>900</v>
      </c>
      <c r="K590" s="24" t="n">
        <v>1400</v>
      </c>
      <c r="L590" s="25">
        <f>I590*K590</f>
        <v/>
      </c>
      <c r="M590" s="25">
        <f>I590*J590</f>
        <v/>
      </c>
      <c r="N590" s="25">
        <f>L590-M590</f>
        <v/>
      </c>
      <c r="O590" s="26">
        <f>IFERROR(N590/L590,0)</f>
        <v/>
      </c>
      <c r="P590">
        <f>YEAR(A590)</f>
        <v/>
      </c>
      <c r="Q590">
        <f>TEXT(A590,"mmm")</f>
        <v/>
      </c>
      <c r="R590">
        <f>IF(B590&lt;25,"18-24",IF(B590&lt;35,"25-34",IF(B590&lt;45,"35-44","45+")))</f>
        <v/>
      </c>
    </row>
    <row r="591">
      <c r="A591" s="23" t="n">
        <v>44547</v>
      </c>
      <c r="B591" s="3" t="n">
        <v>43</v>
      </c>
      <c r="C591" s="3" t="inlineStr">
        <is>
          <t>F</t>
        </is>
      </c>
      <c r="D591" s="3" t="inlineStr">
        <is>
          <t>Australia</t>
        </is>
      </c>
      <c r="E591" s="3" t="inlineStr">
        <is>
          <t>New South Wales</t>
        </is>
      </c>
      <c r="F591" s="3" t="inlineStr">
        <is>
          <t>Road Bikes</t>
        </is>
      </c>
      <c r="G591" s="3" t="inlineStr">
        <is>
          <t>Red</t>
        </is>
      </c>
      <c r="H591" s="3" t="inlineStr">
        <is>
          <t>Road-150 Red, 56</t>
        </is>
      </c>
      <c r="I591" s="4" t="n">
        <v>1</v>
      </c>
      <c r="J591" s="24" t="n">
        <v>900</v>
      </c>
      <c r="K591" s="24" t="n">
        <v>1400</v>
      </c>
      <c r="L591" s="25">
        <f>I591*K591</f>
        <v/>
      </c>
      <c r="M591" s="25">
        <f>I591*J591</f>
        <v/>
      </c>
      <c r="N591" s="25">
        <f>L591-M591</f>
        <v/>
      </c>
      <c r="O591" s="26">
        <f>IFERROR(N591/L591,0)</f>
        <v/>
      </c>
      <c r="P591">
        <f>YEAR(A591)</f>
        <v/>
      </c>
      <c r="Q591">
        <f>TEXT(A591,"mmm")</f>
        <v/>
      </c>
      <c r="R591">
        <f>IF(B591&lt;25,"18-24",IF(B591&lt;35,"25-34",IF(B591&lt;45,"35-44","45+")))</f>
        <v/>
      </c>
    </row>
    <row r="592">
      <c r="A592" s="23" t="n">
        <v>44550</v>
      </c>
      <c r="B592" s="3" t="n">
        <v>43</v>
      </c>
      <c r="C592" s="3" t="inlineStr">
        <is>
          <t>M</t>
        </is>
      </c>
      <c r="D592" s="3" t="inlineStr">
        <is>
          <t>United States</t>
        </is>
      </c>
      <c r="E592" s="3" t="inlineStr">
        <is>
          <t>California</t>
        </is>
      </c>
      <c r="F592" s="3" t="inlineStr">
        <is>
          <t>Road Bikes</t>
        </is>
      </c>
      <c r="G592" s="3" t="inlineStr">
        <is>
          <t>Red</t>
        </is>
      </c>
      <c r="H592" s="3" t="inlineStr">
        <is>
          <t>Road-150 Red, 48</t>
        </is>
      </c>
      <c r="I592" s="4" t="n">
        <v>2</v>
      </c>
      <c r="J592" s="24" t="n">
        <v>900</v>
      </c>
      <c r="K592" s="24" t="n">
        <v>1400</v>
      </c>
      <c r="L592" s="25">
        <f>I592*K592</f>
        <v/>
      </c>
      <c r="M592" s="25">
        <f>I592*J592</f>
        <v/>
      </c>
      <c r="N592" s="25">
        <f>L592-M592</f>
        <v/>
      </c>
      <c r="O592" s="26">
        <f>IFERROR(N592/L592,0)</f>
        <v/>
      </c>
      <c r="P592">
        <f>YEAR(A592)</f>
        <v/>
      </c>
      <c r="Q592">
        <f>TEXT(A592,"mmm")</f>
        <v/>
      </c>
      <c r="R592">
        <f>IF(B592&lt;25,"18-24",IF(B592&lt;35,"25-34",IF(B592&lt;45,"35-44","45+")))</f>
        <v/>
      </c>
    </row>
    <row r="593">
      <c r="A593" s="23" t="n">
        <v>44550</v>
      </c>
      <c r="B593" s="3" t="n">
        <v>43</v>
      </c>
      <c r="C593" s="3" t="inlineStr">
        <is>
          <t>M</t>
        </is>
      </c>
      <c r="D593" s="3" t="inlineStr">
        <is>
          <t>United States</t>
        </is>
      </c>
      <c r="E593" s="3" t="inlineStr">
        <is>
          <t>Washington</t>
        </is>
      </c>
      <c r="F593" s="3" t="inlineStr">
        <is>
          <t>Road Bikes</t>
        </is>
      </c>
      <c r="G593" s="3" t="inlineStr">
        <is>
          <t>Yellow</t>
        </is>
      </c>
      <c r="H593" s="3" t="inlineStr">
        <is>
          <t>Road-350-W Yellow, 40</t>
        </is>
      </c>
      <c r="I593" s="4" t="n">
        <v>1</v>
      </c>
      <c r="J593" s="24" t="n">
        <v>530</v>
      </c>
      <c r="K593" s="24" t="n">
        <v>840</v>
      </c>
      <c r="L593" s="25">
        <f>I593*K593</f>
        <v/>
      </c>
      <c r="M593" s="25">
        <f>I593*J593</f>
        <v/>
      </c>
      <c r="N593" s="25">
        <f>L593-M593</f>
        <v/>
      </c>
      <c r="O593" s="26">
        <f>IFERROR(N593/L593,0)</f>
        <v/>
      </c>
      <c r="P593">
        <f>YEAR(A593)</f>
        <v/>
      </c>
      <c r="Q593">
        <f>TEXT(A593,"mmm")</f>
        <v/>
      </c>
      <c r="R593">
        <f>IF(B593&lt;25,"18-24",IF(B593&lt;35,"25-34",IF(B593&lt;45,"35-44","45+")))</f>
        <v/>
      </c>
    </row>
    <row r="594">
      <c r="A594" s="23" t="n">
        <v>44553</v>
      </c>
      <c r="B594" s="3" t="n">
        <v>43</v>
      </c>
      <c r="C594" s="3" t="inlineStr">
        <is>
          <t>M</t>
        </is>
      </c>
      <c r="D594" s="3" t="inlineStr">
        <is>
          <t>United States</t>
        </is>
      </c>
      <c r="E594" s="3" t="inlineStr">
        <is>
          <t>Washington</t>
        </is>
      </c>
      <c r="F594" s="3" t="inlineStr">
        <is>
          <t>Road Bikes</t>
        </is>
      </c>
      <c r="G594" s="3" t="inlineStr">
        <is>
          <t>Yellow</t>
        </is>
      </c>
      <c r="H594" s="3" t="inlineStr">
        <is>
          <t>Road-350-W Yellow, 40</t>
        </is>
      </c>
      <c r="I594" s="4" t="n">
        <v>1</v>
      </c>
      <c r="J594" s="24" t="n">
        <v>530</v>
      </c>
      <c r="K594" s="24" t="n">
        <v>840</v>
      </c>
      <c r="L594" s="25">
        <f>I594*K594</f>
        <v/>
      </c>
      <c r="M594" s="25">
        <f>I594*J594</f>
        <v/>
      </c>
      <c r="N594" s="25">
        <f>L594-M594</f>
        <v/>
      </c>
      <c r="O594" s="26">
        <f>IFERROR(N594/L594,0)</f>
        <v/>
      </c>
      <c r="P594">
        <f>YEAR(A594)</f>
        <v/>
      </c>
      <c r="Q594">
        <f>TEXT(A594,"mmm")</f>
        <v/>
      </c>
      <c r="R594">
        <f>IF(B594&lt;25,"18-24",IF(B594&lt;35,"25-34",IF(B594&lt;45,"35-44","45+")))</f>
        <v/>
      </c>
    </row>
    <row r="595">
      <c r="A595" s="23" t="n">
        <v>44559</v>
      </c>
      <c r="B595" s="3" t="n">
        <v>43</v>
      </c>
      <c r="C595" s="3" t="inlineStr">
        <is>
          <t>M</t>
        </is>
      </c>
      <c r="D595" s="3" t="inlineStr">
        <is>
          <t>United Kingdom</t>
        </is>
      </c>
      <c r="E595" s="3" t="inlineStr">
        <is>
          <t>England</t>
        </is>
      </c>
      <c r="F595" s="3" t="inlineStr">
        <is>
          <t>Mountain Bikes</t>
        </is>
      </c>
      <c r="G595" s="3" t="inlineStr">
        <is>
          <t>Silver</t>
        </is>
      </c>
      <c r="H595" s="3" t="inlineStr">
        <is>
          <t>Mountain-200 Silver, 42</t>
        </is>
      </c>
      <c r="I595" s="4" t="n">
        <v>2</v>
      </c>
      <c r="J595" s="24" t="n">
        <v>550</v>
      </c>
      <c r="K595" s="24" t="n">
        <v>850</v>
      </c>
      <c r="L595" s="25">
        <f>I595*K595</f>
        <v/>
      </c>
      <c r="M595" s="25">
        <f>I595*J595</f>
        <v/>
      </c>
      <c r="N595" s="25">
        <f>L595-M595</f>
        <v/>
      </c>
      <c r="O595" s="26">
        <f>IFERROR(N595/L595,0)</f>
        <v/>
      </c>
      <c r="P595">
        <f>YEAR(A595)</f>
        <v/>
      </c>
      <c r="Q595">
        <f>TEXT(A595,"mmm")</f>
        <v/>
      </c>
      <c r="R595">
        <f>IF(B595&lt;25,"18-24",IF(B595&lt;35,"25-34",IF(B595&lt;45,"35-44","45+")))</f>
        <v/>
      </c>
    </row>
    <row r="596">
      <c r="A596" s="23" t="n">
        <v>44559</v>
      </c>
      <c r="B596" s="3" t="n">
        <v>43</v>
      </c>
      <c r="C596" s="3" t="inlineStr">
        <is>
          <t>F</t>
        </is>
      </c>
      <c r="D596" s="3" t="inlineStr">
        <is>
          <t>Australia</t>
        </is>
      </c>
      <c r="E596" s="3" t="inlineStr">
        <is>
          <t>New South Wales</t>
        </is>
      </c>
      <c r="F596" s="3" t="inlineStr">
        <is>
          <t>Road Bikes</t>
        </is>
      </c>
      <c r="G596" s="3" t="inlineStr">
        <is>
          <t>Red</t>
        </is>
      </c>
      <c r="H596" s="3" t="inlineStr">
        <is>
          <t>Road-150 Red, 56</t>
        </is>
      </c>
      <c r="I596" s="4" t="n">
        <v>1</v>
      </c>
      <c r="J596" s="24" t="n">
        <v>900</v>
      </c>
      <c r="K596" s="24" t="n">
        <v>1400</v>
      </c>
      <c r="L596" s="25">
        <f>I596*K596</f>
        <v/>
      </c>
      <c r="M596" s="25">
        <f>I596*J596</f>
        <v/>
      </c>
      <c r="N596" s="25">
        <f>L596-M596</f>
        <v/>
      </c>
      <c r="O596" s="26">
        <f>IFERROR(N596/L596,0)</f>
        <v/>
      </c>
      <c r="P596">
        <f>YEAR(A596)</f>
        <v/>
      </c>
      <c r="Q596">
        <f>TEXT(A596,"mmm")</f>
        <v/>
      </c>
      <c r="R596">
        <f>IF(B596&lt;25,"18-24",IF(B596&lt;35,"25-34",IF(B596&lt;45,"35-44","45+")))</f>
        <v/>
      </c>
    </row>
    <row r="597">
      <c r="A597" s="23" t="n">
        <v>44480</v>
      </c>
      <c r="B597" s="3" t="n">
        <v>44</v>
      </c>
      <c r="C597" s="3" t="inlineStr">
        <is>
          <t>F</t>
        </is>
      </c>
      <c r="D597" s="3" t="inlineStr">
        <is>
          <t>Canada</t>
        </is>
      </c>
      <c r="E597" s="3" t="inlineStr">
        <is>
          <t>British Columbia</t>
        </is>
      </c>
      <c r="F597" s="3" t="inlineStr">
        <is>
          <t>Mountain Bikes</t>
        </is>
      </c>
      <c r="G597" s="3" t="inlineStr">
        <is>
          <t>Black</t>
        </is>
      </c>
      <c r="H597" s="3" t="inlineStr">
        <is>
          <t>Mountain-500 Black, 42</t>
        </is>
      </c>
      <c r="I597" s="4" t="n">
        <v>4</v>
      </c>
      <c r="J597" s="24" t="n">
        <v>480</v>
      </c>
      <c r="K597" s="24" t="n">
        <v>760</v>
      </c>
      <c r="L597" s="25">
        <f>I597*K597</f>
        <v/>
      </c>
      <c r="M597" s="25">
        <f>I597*J597</f>
        <v/>
      </c>
      <c r="N597" s="25">
        <f>L597-M597</f>
        <v/>
      </c>
      <c r="O597" s="26">
        <f>IFERROR(N597/L597,0)</f>
        <v/>
      </c>
      <c r="P597">
        <f>YEAR(A597)</f>
        <v/>
      </c>
      <c r="Q597">
        <f>TEXT(A597,"mmm")</f>
        <v/>
      </c>
      <c r="R597">
        <f>IF(B597&lt;25,"18-24",IF(B597&lt;35,"25-34",IF(B597&lt;45,"35-44","45+")))</f>
        <v/>
      </c>
    </row>
    <row r="598">
      <c r="A598" s="23" t="n">
        <v>44481</v>
      </c>
      <c r="B598" s="3" t="n">
        <v>44</v>
      </c>
      <c r="C598" s="3" t="inlineStr">
        <is>
          <t>F</t>
        </is>
      </c>
      <c r="D598" s="3" t="inlineStr">
        <is>
          <t>Australia</t>
        </is>
      </c>
      <c r="E598" s="3" t="inlineStr">
        <is>
          <t>New South Wales</t>
        </is>
      </c>
      <c r="F598" s="3" t="inlineStr">
        <is>
          <t>Road Bikes</t>
        </is>
      </c>
      <c r="G598" s="3" t="inlineStr">
        <is>
          <t>Black</t>
        </is>
      </c>
      <c r="H598" s="3" t="inlineStr">
        <is>
          <t>Road-750 Black, 44</t>
        </is>
      </c>
      <c r="I598" s="4" t="n">
        <v>1</v>
      </c>
      <c r="J598" s="24" t="n">
        <v>700</v>
      </c>
      <c r="K598" s="24" t="n">
        <v>1100</v>
      </c>
      <c r="L598" s="25">
        <f>I598*K598</f>
        <v/>
      </c>
      <c r="M598" s="25">
        <f>I598*J598</f>
        <v/>
      </c>
      <c r="N598" s="25">
        <f>L598-M598</f>
        <v/>
      </c>
      <c r="O598" s="26">
        <f>IFERROR(N598/L598,0)</f>
        <v/>
      </c>
      <c r="P598">
        <f>YEAR(A598)</f>
        <v/>
      </c>
      <c r="Q598">
        <f>TEXT(A598,"mmm")</f>
        <v/>
      </c>
      <c r="R598">
        <f>IF(B598&lt;25,"18-24",IF(B598&lt;35,"25-34",IF(B598&lt;45,"35-44","45+")))</f>
        <v/>
      </c>
    </row>
    <row r="599">
      <c r="A599" s="23" t="n">
        <v>44490</v>
      </c>
      <c r="B599" s="3" t="n">
        <v>44</v>
      </c>
      <c r="C599" s="3" t="inlineStr">
        <is>
          <t>F</t>
        </is>
      </c>
      <c r="D599" s="3" t="inlineStr">
        <is>
          <t>Germany</t>
        </is>
      </c>
      <c r="E599" s="3" t="inlineStr">
        <is>
          <t>Hessen</t>
        </is>
      </c>
      <c r="F599" s="3" t="inlineStr">
        <is>
          <t>Road Bikes</t>
        </is>
      </c>
      <c r="G599" s="3" t="inlineStr">
        <is>
          <t>Red</t>
        </is>
      </c>
      <c r="H599" s="3" t="inlineStr">
        <is>
          <t>Road-650 Red, 60</t>
        </is>
      </c>
      <c r="I599" s="4" t="n">
        <v>3</v>
      </c>
      <c r="J599" s="24" t="n">
        <v>500</v>
      </c>
      <c r="K599" s="24" t="n">
        <v>950</v>
      </c>
      <c r="L599" s="25">
        <f>I599*K599</f>
        <v/>
      </c>
      <c r="M599" s="25">
        <f>I599*J599</f>
        <v/>
      </c>
      <c r="N599" s="25">
        <f>L599-M599</f>
        <v/>
      </c>
      <c r="O599" s="26">
        <f>IFERROR(N599/L599,0)</f>
        <v/>
      </c>
      <c r="P599">
        <f>YEAR(A599)</f>
        <v/>
      </c>
      <c r="Q599">
        <f>TEXT(A599,"mmm")</f>
        <v/>
      </c>
      <c r="R599">
        <f>IF(B599&lt;25,"18-24",IF(B599&lt;35,"25-34",IF(B599&lt;45,"35-44","45+")))</f>
        <v/>
      </c>
    </row>
    <row r="600">
      <c r="A600" s="23" t="n">
        <v>44490</v>
      </c>
      <c r="B600" s="3" t="n">
        <v>44</v>
      </c>
      <c r="C600" s="3" t="inlineStr">
        <is>
          <t>M</t>
        </is>
      </c>
      <c r="D600" s="3" t="inlineStr">
        <is>
          <t>Australia</t>
        </is>
      </c>
      <c r="E600" s="3" t="inlineStr">
        <is>
          <t>South Australia</t>
        </is>
      </c>
      <c r="F600" s="3" t="inlineStr">
        <is>
          <t>Mountain Bikes</t>
        </is>
      </c>
      <c r="G600" s="3" t="inlineStr">
        <is>
          <t>Black</t>
        </is>
      </c>
      <c r="H600" s="3" t="inlineStr">
        <is>
          <t>Mountain-200 Black, 42</t>
        </is>
      </c>
      <c r="I600" s="4" t="n">
        <v>2</v>
      </c>
      <c r="J600" s="24" t="n">
        <v>550</v>
      </c>
      <c r="K600" s="24" t="n">
        <v>850</v>
      </c>
      <c r="L600" s="25">
        <f>I600*K600</f>
        <v/>
      </c>
      <c r="M600" s="25">
        <f>I600*J600</f>
        <v/>
      </c>
      <c r="N600" s="25">
        <f>L600-M600</f>
        <v/>
      </c>
      <c r="O600" s="26">
        <f>IFERROR(N600/L600,0)</f>
        <v/>
      </c>
      <c r="P600">
        <f>YEAR(A600)</f>
        <v/>
      </c>
      <c r="Q600">
        <f>TEXT(A600,"mmm")</f>
        <v/>
      </c>
      <c r="R600">
        <f>IF(B600&lt;25,"18-24",IF(B600&lt;35,"25-34",IF(B600&lt;45,"35-44","45+")))</f>
        <v/>
      </c>
    </row>
    <row r="601">
      <c r="A601" s="23" t="n">
        <v>44493</v>
      </c>
      <c r="B601" s="3" t="n">
        <v>44</v>
      </c>
      <c r="C601" s="3" t="inlineStr">
        <is>
          <t>F</t>
        </is>
      </c>
      <c r="D601" s="3" t="inlineStr">
        <is>
          <t>Australia</t>
        </is>
      </c>
      <c r="E601" s="3" t="inlineStr">
        <is>
          <t>Queensland</t>
        </is>
      </c>
      <c r="F601" s="3" t="inlineStr">
        <is>
          <t>Mountain Bikes</t>
        </is>
      </c>
      <c r="G601" s="3" t="inlineStr">
        <is>
          <t>Silver</t>
        </is>
      </c>
      <c r="H601" s="3" t="inlineStr">
        <is>
          <t>Mountain-400-W Silver, 38</t>
        </is>
      </c>
      <c r="I601" s="4" t="n">
        <v>1</v>
      </c>
      <c r="J601" s="24" t="n">
        <v>450</v>
      </c>
      <c r="K601" s="24" t="n">
        <v>720</v>
      </c>
      <c r="L601" s="25">
        <f>I601*K601</f>
        <v/>
      </c>
      <c r="M601" s="25">
        <f>I601*J601</f>
        <v/>
      </c>
      <c r="N601" s="25">
        <f>L601-M601</f>
        <v/>
      </c>
      <c r="O601" s="26">
        <f>IFERROR(N601/L601,0)</f>
        <v/>
      </c>
      <c r="P601">
        <f>YEAR(A601)</f>
        <v/>
      </c>
      <c r="Q601">
        <f>TEXT(A601,"mmm")</f>
        <v/>
      </c>
      <c r="R601">
        <f>IF(B601&lt;25,"18-24",IF(B601&lt;35,"25-34",IF(B601&lt;45,"35-44","45+")))</f>
        <v/>
      </c>
    </row>
    <row r="602">
      <c r="A602" s="23" t="n">
        <v>44498</v>
      </c>
      <c r="B602" s="3" t="n">
        <v>44</v>
      </c>
      <c r="C602" s="3" t="inlineStr">
        <is>
          <t>F</t>
        </is>
      </c>
      <c r="D602" s="3" t="inlineStr">
        <is>
          <t>Australia</t>
        </is>
      </c>
      <c r="E602" s="3" t="inlineStr">
        <is>
          <t>New South Wales</t>
        </is>
      </c>
      <c r="F602" s="3" t="inlineStr">
        <is>
          <t>Road Bikes</t>
        </is>
      </c>
      <c r="G602" s="3" t="inlineStr">
        <is>
          <t>Black</t>
        </is>
      </c>
      <c r="H602" s="3" t="inlineStr">
        <is>
          <t>Road-750 Black, 44</t>
        </is>
      </c>
      <c r="I602" s="4" t="n">
        <v>4</v>
      </c>
      <c r="J602" s="24" t="n">
        <v>700</v>
      </c>
      <c r="K602" s="24" t="n">
        <v>1100</v>
      </c>
      <c r="L602" s="25">
        <f>I602*K602</f>
        <v/>
      </c>
      <c r="M602" s="25">
        <f>I602*J602</f>
        <v/>
      </c>
      <c r="N602" s="25">
        <f>L602-M602</f>
        <v/>
      </c>
      <c r="O602" s="26">
        <f>IFERROR(N602/L602,0)</f>
        <v/>
      </c>
      <c r="P602">
        <f>YEAR(A602)</f>
        <v/>
      </c>
      <c r="Q602">
        <f>TEXT(A602,"mmm")</f>
        <v/>
      </c>
      <c r="R602">
        <f>IF(B602&lt;25,"18-24",IF(B602&lt;35,"25-34",IF(B602&lt;45,"35-44","45+")))</f>
        <v/>
      </c>
    </row>
    <row r="603">
      <c r="A603" s="23" t="n">
        <v>44501</v>
      </c>
      <c r="B603" s="3" t="n">
        <v>44</v>
      </c>
      <c r="C603" s="3" t="inlineStr">
        <is>
          <t>M</t>
        </is>
      </c>
      <c r="D603" s="3" t="inlineStr">
        <is>
          <t>United Kingdom</t>
        </is>
      </c>
      <c r="E603" s="3" t="inlineStr">
        <is>
          <t>England</t>
        </is>
      </c>
      <c r="F603" s="3" t="inlineStr">
        <is>
          <t>Road Bikes</t>
        </is>
      </c>
      <c r="G603" s="3" t="inlineStr">
        <is>
          <t>Yellow</t>
        </is>
      </c>
      <c r="H603" s="3" t="inlineStr">
        <is>
          <t>Road-550-W Yellow, 48</t>
        </is>
      </c>
      <c r="I603" s="4" t="n">
        <v>1</v>
      </c>
      <c r="J603" s="24" t="n">
        <v>500</v>
      </c>
      <c r="K603" s="24" t="n">
        <v>800</v>
      </c>
      <c r="L603" s="25">
        <f>I603*K603</f>
        <v/>
      </c>
      <c r="M603" s="25">
        <f>I603*J603</f>
        <v/>
      </c>
      <c r="N603" s="25">
        <f>L603-M603</f>
        <v/>
      </c>
      <c r="O603" s="26">
        <f>IFERROR(N603/L603,0)</f>
        <v/>
      </c>
      <c r="P603">
        <f>YEAR(A603)</f>
        <v/>
      </c>
      <c r="Q603">
        <f>TEXT(A603,"mmm")</f>
        <v/>
      </c>
      <c r="R603">
        <f>IF(B603&lt;25,"18-24",IF(B603&lt;35,"25-34",IF(B603&lt;45,"35-44","45+")))</f>
        <v/>
      </c>
    </row>
    <row r="604">
      <c r="A604" s="23" t="n">
        <v>44512</v>
      </c>
      <c r="B604" s="3" t="n">
        <v>44</v>
      </c>
      <c r="C604" s="3" t="inlineStr">
        <is>
          <t>F</t>
        </is>
      </c>
      <c r="D604" s="3" t="inlineStr">
        <is>
          <t>United States</t>
        </is>
      </c>
      <c r="E604" s="3" t="inlineStr">
        <is>
          <t>Oregon</t>
        </is>
      </c>
      <c r="F604" s="3" t="inlineStr">
        <is>
          <t>Road Bikes</t>
        </is>
      </c>
      <c r="G604" s="3" t="inlineStr">
        <is>
          <t>Black</t>
        </is>
      </c>
      <c r="H604" s="3" t="inlineStr">
        <is>
          <t>Road-750 Black, 44</t>
        </is>
      </c>
      <c r="I604" s="4" t="n">
        <v>1</v>
      </c>
      <c r="J604" s="24" t="n">
        <v>700</v>
      </c>
      <c r="K604" s="24" t="n">
        <v>1100</v>
      </c>
      <c r="L604" s="25">
        <f>I604*K604</f>
        <v/>
      </c>
      <c r="M604" s="25">
        <f>I604*J604</f>
        <v/>
      </c>
      <c r="N604" s="25">
        <f>L604-M604</f>
        <v/>
      </c>
      <c r="O604" s="26">
        <f>IFERROR(N604/L604,0)</f>
        <v/>
      </c>
      <c r="P604">
        <f>YEAR(A604)</f>
        <v/>
      </c>
      <c r="Q604">
        <f>TEXT(A604,"mmm")</f>
        <v/>
      </c>
      <c r="R604">
        <f>IF(B604&lt;25,"18-24",IF(B604&lt;35,"25-34",IF(B604&lt;45,"35-44","45+")))</f>
        <v/>
      </c>
    </row>
    <row r="605">
      <c r="A605" s="23" t="n">
        <v>44519</v>
      </c>
      <c r="B605" s="3" t="n">
        <v>44</v>
      </c>
      <c r="C605" s="3" t="inlineStr">
        <is>
          <t>F</t>
        </is>
      </c>
      <c r="D605" s="3" t="inlineStr">
        <is>
          <t>Germany</t>
        </is>
      </c>
      <c r="E605" s="3" t="inlineStr">
        <is>
          <t>Hessen</t>
        </is>
      </c>
      <c r="F605" s="3" t="inlineStr">
        <is>
          <t>Road Bikes</t>
        </is>
      </c>
      <c r="G605" s="3" t="inlineStr">
        <is>
          <t>Red</t>
        </is>
      </c>
      <c r="H605" s="3" t="inlineStr">
        <is>
          <t>Road-650 Red, 60</t>
        </is>
      </c>
      <c r="I605" s="4" t="n">
        <v>1</v>
      </c>
      <c r="J605" s="24" t="n">
        <v>500</v>
      </c>
      <c r="K605" s="24" t="n">
        <v>950</v>
      </c>
      <c r="L605" s="25">
        <f>I605*K605</f>
        <v/>
      </c>
      <c r="M605" s="25">
        <f>I605*J605</f>
        <v/>
      </c>
      <c r="N605" s="25">
        <f>L605-M605</f>
        <v/>
      </c>
      <c r="O605" s="26">
        <f>IFERROR(N605/L605,0)</f>
        <v/>
      </c>
      <c r="P605">
        <f>YEAR(A605)</f>
        <v/>
      </c>
      <c r="Q605">
        <f>TEXT(A605,"mmm")</f>
        <v/>
      </c>
      <c r="R605">
        <f>IF(B605&lt;25,"18-24",IF(B605&lt;35,"25-34",IF(B605&lt;45,"35-44","45+")))</f>
        <v/>
      </c>
    </row>
    <row r="606">
      <c r="A606" s="23" t="n">
        <v>44529</v>
      </c>
      <c r="B606" s="3" t="n">
        <v>44</v>
      </c>
      <c r="C606" s="3" t="inlineStr">
        <is>
          <t>M</t>
        </is>
      </c>
      <c r="D606" s="3" t="inlineStr">
        <is>
          <t>United Kingdom</t>
        </is>
      </c>
      <c r="E606" s="3" t="inlineStr">
        <is>
          <t>England</t>
        </is>
      </c>
      <c r="F606" s="3" t="inlineStr">
        <is>
          <t>Road Bikes</t>
        </is>
      </c>
      <c r="G606" s="3" t="inlineStr">
        <is>
          <t>Yellow</t>
        </is>
      </c>
      <c r="H606" s="3" t="inlineStr">
        <is>
          <t>Road-550-W Yellow, 48</t>
        </is>
      </c>
      <c r="I606" s="4" t="n">
        <v>1</v>
      </c>
      <c r="J606" s="24" t="n">
        <v>500</v>
      </c>
      <c r="K606" s="24" t="n">
        <v>800</v>
      </c>
      <c r="L606" s="25">
        <f>I606*K606</f>
        <v/>
      </c>
      <c r="M606" s="25">
        <f>I606*J606</f>
        <v/>
      </c>
      <c r="N606" s="25">
        <f>L606-M606</f>
        <v/>
      </c>
      <c r="O606" s="26">
        <f>IFERROR(N606/L606,0)</f>
        <v/>
      </c>
      <c r="P606">
        <f>YEAR(A606)</f>
        <v/>
      </c>
      <c r="Q606">
        <f>TEXT(A606,"mmm")</f>
        <v/>
      </c>
      <c r="R606">
        <f>IF(B606&lt;25,"18-24",IF(B606&lt;35,"25-34",IF(B606&lt;45,"35-44","45+")))</f>
        <v/>
      </c>
    </row>
    <row r="607">
      <c r="A607" s="23" t="n">
        <v>44531</v>
      </c>
      <c r="B607" s="3" t="n">
        <v>44</v>
      </c>
      <c r="C607" s="3" t="inlineStr">
        <is>
          <t>M</t>
        </is>
      </c>
      <c r="D607" s="3" t="inlineStr">
        <is>
          <t>United Kingdom</t>
        </is>
      </c>
      <c r="E607" s="3" t="inlineStr">
        <is>
          <t>England</t>
        </is>
      </c>
      <c r="F607" s="3" t="inlineStr">
        <is>
          <t>Mountain Bikes</t>
        </is>
      </c>
      <c r="G607" s="3" t="inlineStr">
        <is>
          <t>Silver</t>
        </is>
      </c>
      <c r="H607" s="3" t="inlineStr">
        <is>
          <t>Mountain-200 Silver, 42</t>
        </is>
      </c>
      <c r="I607" s="4" t="n">
        <v>1</v>
      </c>
      <c r="J607" s="24" t="n">
        <v>550</v>
      </c>
      <c r="K607" s="24" t="n">
        <v>850</v>
      </c>
      <c r="L607" s="25">
        <f>I607*K607</f>
        <v/>
      </c>
      <c r="M607" s="25">
        <f>I607*J607</f>
        <v/>
      </c>
      <c r="N607" s="25">
        <f>L607-M607</f>
        <v/>
      </c>
      <c r="O607" s="26">
        <f>IFERROR(N607/L607,0)</f>
        <v/>
      </c>
      <c r="P607">
        <f>YEAR(A607)</f>
        <v/>
      </c>
      <c r="Q607">
        <f>TEXT(A607,"mmm")</f>
        <v/>
      </c>
      <c r="R607">
        <f>IF(B607&lt;25,"18-24",IF(B607&lt;35,"25-34",IF(B607&lt;45,"35-44","45+")))</f>
        <v/>
      </c>
    </row>
    <row r="608">
      <c r="A608" s="23" t="n">
        <v>44532</v>
      </c>
      <c r="B608" s="3" t="n">
        <v>44</v>
      </c>
      <c r="C608" s="3" t="inlineStr">
        <is>
          <t>M</t>
        </is>
      </c>
      <c r="D608" s="3" t="inlineStr">
        <is>
          <t>United States</t>
        </is>
      </c>
      <c r="E608" s="3" t="inlineStr">
        <is>
          <t>Washington</t>
        </is>
      </c>
      <c r="F608" s="3" t="inlineStr">
        <is>
          <t>Road Bikes</t>
        </is>
      </c>
      <c r="G608" s="3" t="inlineStr">
        <is>
          <t>Red</t>
        </is>
      </c>
      <c r="H608" s="3" t="inlineStr">
        <is>
          <t>Road-250 Red, 52</t>
        </is>
      </c>
      <c r="I608" s="4" t="n">
        <v>4</v>
      </c>
      <c r="J608" s="24" t="n">
        <v>580</v>
      </c>
      <c r="K608" s="24" t="n">
        <v>920</v>
      </c>
      <c r="L608" s="25">
        <f>I608*K608</f>
        <v/>
      </c>
      <c r="M608" s="25">
        <f>I608*J608</f>
        <v/>
      </c>
      <c r="N608" s="25">
        <f>L608-M608</f>
        <v/>
      </c>
      <c r="O608" s="26">
        <f>IFERROR(N608/L608,0)</f>
        <v/>
      </c>
      <c r="P608">
        <f>YEAR(A608)</f>
        <v/>
      </c>
      <c r="Q608">
        <f>TEXT(A608,"mmm")</f>
        <v/>
      </c>
      <c r="R608">
        <f>IF(B608&lt;25,"18-24",IF(B608&lt;35,"25-34",IF(B608&lt;45,"35-44","45+")))</f>
        <v/>
      </c>
    </row>
    <row r="609">
      <c r="A609" s="23" t="n">
        <v>44543</v>
      </c>
      <c r="B609" s="3" t="n">
        <v>44</v>
      </c>
      <c r="C609" s="3" t="inlineStr">
        <is>
          <t>F</t>
        </is>
      </c>
      <c r="D609" s="3" t="inlineStr">
        <is>
          <t>United Kingdom</t>
        </is>
      </c>
      <c r="E609" s="3" t="inlineStr">
        <is>
          <t>England</t>
        </is>
      </c>
      <c r="F609" s="3" t="inlineStr">
        <is>
          <t>Mountain Bikes</t>
        </is>
      </c>
      <c r="G609" s="3" t="inlineStr">
        <is>
          <t>Black</t>
        </is>
      </c>
      <c r="H609" s="3" t="inlineStr">
        <is>
          <t>Mountain-200 Black, 38</t>
        </is>
      </c>
      <c r="I609" s="4" t="n">
        <v>1</v>
      </c>
      <c r="J609" s="24" t="n">
        <v>550</v>
      </c>
      <c r="K609" s="24" t="n">
        <v>850</v>
      </c>
      <c r="L609" s="25">
        <f>I609*K609</f>
        <v/>
      </c>
      <c r="M609" s="25">
        <f>I609*J609</f>
        <v/>
      </c>
      <c r="N609" s="25">
        <f>L609-M609</f>
        <v/>
      </c>
      <c r="O609" s="26">
        <f>IFERROR(N609/L609,0)</f>
        <v/>
      </c>
      <c r="P609">
        <f>YEAR(A609)</f>
        <v/>
      </c>
      <c r="Q609">
        <f>TEXT(A609,"mmm")</f>
        <v/>
      </c>
      <c r="R609">
        <f>IF(B609&lt;25,"18-24",IF(B609&lt;35,"25-34",IF(B609&lt;45,"35-44","45+")))</f>
        <v/>
      </c>
    </row>
    <row r="610">
      <c r="A610" s="23" t="n">
        <v>44544</v>
      </c>
      <c r="B610" s="3" t="n">
        <v>44</v>
      </c>
      <c r="C610" s="3" t="inlineStr">
        <is>
          <t>M</t>
        </is>
      </c>
      <c r="D610" s="3" t="inlineStr">
        <is>
          <t>United States</t>
        </is>
      </c>
      <c r="E610" s="3" t="inlineStr">
        <is>
          <t>California</t>
        </is>
      </c>
      <c r="F610" s="3" t="inlineStr">
        <is>
          <t>Road Bikes</t>
        </is>
      </c>
      <c r="G610" s="3" t="inlineStr">
        <is>
          <t>Black</t>
        </is>
      </c>
      <c r="H610" s="3" t="inlineStr">
        <is>
          <t>Road-750 Black, 48</t>
        </is>
      </c>
      <c r="I610" s="4" t="n">
        <v>1</v>
      </c>
      <c r="J610" s="24" t="n">
        <v>700</v>
      </c>
      <c r="K610" s="24" t="n">
        <v>1100</v>
      </c>
      <c r="L610" s="25">
        <f>I610*K610</f>
        <v/>
      </c>
      <c r="M610" s="25">
        <f>I610*J610</f>
        <v/>
      </c>
      <c r="N610" s="25">
        <f>L610-M610</f>
        <v/>
      </c>
      <c r="O610" s="26">
        <f>IFERROR(N610/L610,0)</f>
        <v/>
      </c>
      <c r="P610">
        <f>YEAR(A610)</f>
        <v/>
      </c>
      <c r="Q610">
        <f>TEXT(A610,"mmm")</f>
        <v/>
      </c>
      <c r="R610">
        <f>IF(B610&lt;25,"18-24",IF(B610&lt;35,"25-34",IF(B610&lt;45,"35-44","45+")))</f>
        <v/>
      </c>
    </row>
    <row r="611">
      <c r="A611" s="23" t="n">
        <v>44544</v>
      </c>
      <c r="B611" s="3" t="n">
        <v>44</v>
      </c>
      <c r="C611" s="3" t="inlineStr">
        <is>
          <t>M</t>
        </is>
      </c>
      <c r="D611" s="3" t="inlineStr">
        <is>
          <t>Australia</t>
        </is>
      </c>
      <c r="E611" s="3" t="inlineStr">
        <is>
          <t>New South Wales</t>
        </is>
      </c>
      <c r="F611" s="3" t="inlineStr">
        <is>
          <t>Road Bikes</t>
        </is>
      </c>
      <c r="G611" s="3" t="inlineStr">
        <is>
          <t>Red</t>
        </is>
      </c>
      <c r="H611" s="3" t="inlineStr">
        <is>
          <t>Road-250 Red, 58</t>
        </is>
      </c>
      <c r="I611" s="4" t="n">
        <v>1</v>
      </c>
      <c r="J611" s="24" t="n">
        <v>580</v>
      </c>
      <c r="K611" s="24" t="n">
        <v>920</v>
      </c>
      <c r="L611" s="25">
        <f>I611*K611</f>
        <v/>
      </c>
      <c r="M611" s="25">
        <f>I611*J611</f>
        <v/>
      </c>
      <c r="N611" s="25">
        <f>L611-M611</f>
        <v/>
      </c>
      <c r="O611" s="26">
        <f>IFERROR(N611/L611,0)</f>
        <v/>
      </c>
      <c r="P611">
        <f>YEAR(A611)</f>
        <v/>
      </c>
      <c r="Q611">
        <f>TEXT(A611,"mmm")</f>
        <v/>
      </c>
      <c r="R611">
        <f>IF(B611&lt;25,"18-24",IF(B611&lt;35,"25-34",IF(B611&lt;45,"35-44","45+")))</f>
        <v/>
      </c>
    </row>
    <row r="612">
      <c r="A612" s="23" t="n">
        <v>44547</v>
      </c>
      <c r="B612" s="3" t="n">
        <v>44</v>
      </c>
      <c r="C612" s="3" t="inlineStr">
        <is>
          <t>M</t>
        </is>
      </c>
      <c r="D612" s="3" t="inlineStr">
        <is>
          <t>United Kingdom</t>
        </is>
      </c>
      <c r="E612" s="3" t="inlineStr">
        <is>
          <t>England</t>
        </is>
      </c>
      <c r="F612" s="3" t="inlineStr">
        <is>
          <t>Road Bikes</t>
        </is>
      </c>
      <c r="G612" s="3" t="inlineStr">
        <is>
          <t>Yellow</t>
        </is>
      </c>
      <c r="H612" s="3" t="inlineStr">
        <is>
          <t>Road-550-W Yellow, 48</t>
        </is>
      </c>
      <c r="I612" s="4" t="n">
        <v>1</v>
      </c>
      <c r="J612" s="24" t="n">
        <v>500</v>
      </c>
      <c r="K612" s="24" t="n">
        <v>800</v>
      </c>
      <c r="L612" s="25">
        <f>I612*K612</f>
        <v/>
      </c>
      <c r="M612" s="25">
        <f>I612*J612</f>
        <v/>
      </c>
      <c r="N612" s="25">
        <f>L612-M612</f>
        <v/>
      </c>
      <c r="O612" s="26">
        <f>IFERROR(N612/L612,0)</f>
        <v/>
      </c>
      <c r="P612">
        <f>YEAR(A612)</f>
        <v/>
      </c>
      <c r="Q612">
        <f>TEXT(A612,"mmm")</f>
        <v/>
      </c>
      <c r="R612">
        <f>IF(B612&lt;25,"18-24",IF(B612&lt;35,"25-34",IF(B612&lt;45,"35-44","45+")))</f>
        <v/>
      </c>
    </row>
    <row r="613">
      <c r="A613" s="23" t="n">
        <v>44555</v>
      </c>
      <c r="B613" s="3" t="n">
        <v>44</v>
      </c>
      <c r="C613" s="3" t="inlineStr">
        <is>
          <t>M</t>
        </is>
      </c>
      <c r="D613" s="3" t="inlineStr">
        <is>
          <t>United States</t>
        </is>
      </c>
      <c r="E613" s="3" t="inlineStr">
        <is>
          <t>California</t>
        </is>
      </c>
      <c r="F613" s="3" t="inlineStr">
        <is>
          <t>Road Bikes</t>
        </is>
      </c>
      <c r="G613" s="3" t="inlineStr">
        <is>
          <t>Black</t>
        </is>
      </c>
      <c r="H613" s="3" t="inlineStr">
        <is>
          <t>Road-750 Black, 48</t>
        </is>
      </c>
      <c r="I613" s="4" t="n">
        <v>1</v>
      </c>
      <c r="J613" s="24" t="n">
        <v>700</v>
      </c>
      <c r="K613" s="24" t="n">
        <v>1100</v>
      </c>
      <c r="L613" s="25">
        <f>I613*K613</f>
        <v/>
      </c>
      <c r="M613" s="25">
        <f>I613*J613</f>
        <v/>
      </c>
      <c r="N613" s="25">
        <f>L613-M613</f>
        <v/>
      </c>
      <c r="O613" s="26">
        <f>IFERROR(N613/L613,0)</f>
        <v/>
      </c>
      <c r="P613">
        <f>YEAR(A613)</f>
        <v/>
      </c>
      <c r="Q613">
        <f>TEXT(A613,"mmm")</f>
        <v/>
      </c>
      <c r="R613">
        <f>IF(B613&lt;25,"18-24",IF(B613&lt;35,"25-34",IF(B613&lt;45,"35-44","45+")))</f>
        <v/>
      </c>
    </row>
    <row r="614">
      <c r="A614" s="23" t="n">
        <v>44557</v>
      </c>
      <c r="B614" s="3" t="n">
        <v>44</v>
      </c>
      <c r="C614" s="3" t="inlineStr">
        <is>
          <t>M</t>
        </is>
      </c>
      <c r="D614" s="3" t="inlineStr">
        <is>
          <t>United Kingdom</t>
        </is>
      </c>
      <c r="E614" s="3" t="inlineStr">
        <is>
          <t>England</t>
        </is>
      </c>
      <c r="F614" s="3" t="inlineStr">
        <is>
          <t>Mountain Bikes</t>
        </is>
      </c>
      <c r="G614" s="3" t="inlineStr">
        <is>
          <t>Silver</t>
        </is>
      </c>
      <c r="H614" s="3" t="inlineStr">
        <is>
          <t>Mountain-200 Silver, 42</t>
        </is>
      </c>
      <c r="I614" s="4" t="n">
        <v>2</v>
      </c>
      <c r="J614" s="24" t="n">
        <v>550</v>
      </c>
      <c r="K614" s="24" t="n">
        <v>850</v>
      </c>
      <c r="L614" s="25">
        <f>I614*K614</f>
        <v/>
      </c>
      <c r="M614" s="25">
        <f>I614*J614</f>
        <v/>
      </c>
      <c r="N614" s="25">
        <f>L614-M614</f>
        <v/>
      </c>
      <c r="O614" s="26">
        <f>IFERROR(N614/L614,0)</f>
        <v/>
      </c>
      <c r="P614">
        <f>YEAR(A614)</f>
        <v/>
      </c>
      <c r="Q614">
        <f>TEXT(A614,"mmm")</f>
        <v/>
      </c>
      <c r="R614">
        <f>IF(B614&lt;25,"18-24",IF(B614&lt;35,"25-34",IF(B614&lt;45,"35-44","45+")))</f>
        <v/>
      </c>
    </row>
    <row r="615">
      <c r="A615" s="23" t="n">
        <v>44558</v>
      </c>
      <c r="B615" s="3" t="n">
        <v>44</v>
      </c>
      <c r="C615" s="3" t="inlineStr">
        <is>
          <t>F</t>
        </is>
      </c>
      <c r="D615" s="3" t="inlineStr">
        <is>
          <t>United Kingdom</t>
        </is>
      </c>
      <c r="E615" s="3" t="inlineStr">
        <is>
          <t>England</t>
        </is>
      </c>
      <c r="F615" s="3" t="inlineStr">
        <is>
          <t>Mountain Bikes</t>
        </is>
      </c>
      <c r="G615" s="3" t="inlineStr">
        <is>
          <t>Black</t>
        </is>
      </c>
      <c r="H615" s="3" t="inlineStr">
        <is>
          <t>Mountain-200 Black, 38</t>
        </is>
      </c>
      <c r="I615" s="4" t="n">
        <v>3</v>
      </c>
      <c r="J615" s="24" t="n">
        <v>550</v>
      </c>
      <c r="K615" s="24" t="n">
        <v>850</v>
      </c>
      <c r="L615" s="25">
        <f>I615*K615</f>
        <v/>
      </c>
      <c r="M615" s="25">
        <f>I615*J615</f>
        <v/>
      </c>
      <c r="N615" s="25">
        <f>L615-M615</f>
        <v/>
      </c>
      <c r="O615" s="26">
        <f>IFERROR(N615/L615,0)</f>
        <v/>
      </c>
      <c r="P615">
        <f>YEAR(A615)</f>
        <v/>
      </c>
      <c r="Q615">
        <f>TEXT(A615,"mmm")</f>
        <v/>
      </c>
      <c r="R615">
        <f>IF(B615&lt;25,"18-24",IF(B615&lt;35,"25-34",IF(B615&lt;45,"35-44","45+")))</f>
        <v/>
      </c>
    </row>
    <row r="616">
      <c r="A616" s="23" t="n">
        <v>44559</v>
      </c>
      <c r="B616" s="3" t="n">
        <v>44</v>
      </c>
      <c r="C616" s="3" t="inlineStr">
        <is>
          <t>F</t>
        </is>
      </c>
      <c r="D616" s="3" t="inlineStr">
        <is>
          <t>Australia</t>
        </is>
      </c>
      <c r="E616" s="3" t="inlineStr">
        <is>
          <t>Queensland</t>
        </is>
      </c>
      <c r="F616" s="3" t="inlineStr">
        <is>
          <t>Road Bikes</t>
        </is>
      </c>
      <c r="G616" s="3" t="inlineStr">
        <is>
          <t>Black</t>
        </is>
      </c>
      <c r="H616" s="3" t="inlineStr">
        <is>
          <t>Road-750 Black, 48</t>
        </is>
      </c>
      <c r="I616" s="4" t="n">
        <v>2</v>
      </c>
      <c r="J616" s="24" t="n">
        <v>700</v>
      </c>
      <c r="K616" s="24" t="n">
        <v>1100</v>
      </c>
      <c r="L616" s="25">
        <f>I616*K616</f>
        <v/>
      </c>
      <c r="M616" s="25">
        <f>I616*J616</f>
        <v/>
      </c>
      <c r="N616" s="25">
        <f>L616-M616</f>
        <v/>
      </c>
      <c r="O616" s="26">
        <f>IFERROR(N616/L616,0)</f>
        <v/>
      </c>
      <c r="P616">
        <f>YEAR(A616)</f>
        <v/>
      </c>
      <c r="Q616">
        <f>TEXT(A616,"mmm")</f>
        <v/>
      </c>
      <c r="R616">
        <f>IF(B616&lt;25,"18-24",IF(B616&lt;35,"25-34",IF(B616&lt;45,"35-44","45+")))</f>
        <v/>
      </c>
    </row>
    <row r="617">
      <c r="A617" s="23" t="n">
        <v>44561</v>
      </c>
      <c r="B617" s="3" t="n">
        <v>44</v>
      </c>
      <c r="C617" s="3" t="inlineStr">
        <is>
          <t>M</t>
        </is>
      </c>
      <c r="D617" s="3" t="inlineStr">
        <is>
          <t>Australia</t>
        </is>
      </c>
      <c r="E617" s="3" t="inlineStr">
        <is>
          <t>Victoria</t>
        </is>
      </c>
      <c r="F617" s="3" t="inlineStr">
        <is>
          <t>Road Bikes</t>
        </is>
      </c>
      <c r="G617" s="3" t="inlineStr">
        <is>
          <t>Yellow</t>
        </is>
      </c>
      <c r="H617" s="3" t="inlineStr">
        <is>
          <t>Road-550-W Yellow, 42</t>
        </is>
      </c>
      <c r="I617" s="4" t="n">
        <v>1</v>
      </c>
      <c r="J617" s="24" t="n">
        <v>500</v>
      </c>
      <c r="K617" s="24" t="n">
        <v>800</v>
      </c>
      <c r="L617" s="25">
        <f>I617*K617</f>
        <v/>
      </c>
      <c r="M617" s="25">
        <f>I617*J617</f>
        <v/>
      </c>
      <c r="N617" s="25">
        <f>L617-M617</f>
        <v/>
      </c>
      <c r="O617" s="26">
        <f>IFERROR(N617/L617,0)</f>
        <v/>
      </c>
      <c r="P617">
        <f>YEAR(A617)</f>
        <v/>
      </c>
      <c r="Q617">
        <f>TEXT(A617,"mmm")</f>
        <v/>
      </c>
      <c r="R617">
        <f>IF(B617&lt;25,"18-24",IF(B617&lt;35,"25-34",IF(B617&lt;45,"35-44","45+")))</f>
        <v/>
      </c>
    </row>
    <row r="618">
      <c r="A618" s="23" t="n">
        <v>44473</v>
      </c>
      <c r="B618" s="3" t="n">
        <v>45</v>
      </c>
      <c r="C618" s="3" t="inlineStr">
        <is>
          <t>F</t>
        </is>
      </c>
      <c r="D618" s="3" t="inlineStr">
        <is>
          <t>United States</t>
        </is>
      </c>
      <c r="E618" s="3" t="inlineStr">
        <is>
          <t>California</t>
        </is>
      </c>
      <c r="F618" s="3" t="inlineStr">
        <is>
          <t>Road Bikes</t>
        </is>
      </c>
      <c r="G618" s="3" t="inlineStr">
        <is>
          <t>Black</t>
        </is>
      </c>
      <c r="H618" s="3" t="inlineStr">
        <is>
          <t>Road-750 Black, 52</t>
        </is>
      </c>
      <c r="I618" s="4" t="n">
        <v>2</v>
      </c>
      <c r="J618" s="24" t="n">
        <v>700</v>
      </c>
      <c r="K618" s="24" t="n">
        <v>1100</v>
      </c>
      <c r="L618" s="25">
        <f>I618*K618</f>
        <v/>
      </c>
      <c r="M618" s="25">
        <f>I618*J618</f>
        <v/>
      </c>
      <c r="N618" s="25">
        <f>L618-M618</f>
        <v/>
      </c>
      <c r="O618" s="26">
        <f>IFERROR(N618/L618,0)</f>
        <v/>
      </c>
      <c r="P618">
        <f>YEAR(A618)</f>
        <v/>
      </c>
      <c r="Q618">
        <f>TEXT(A618,"mmm")</f>
        <v/>
      </c>
      <c r="R618">
        <f>IF(B618&lt;25,"18-24",IF(B618&lt;35,"25-34",IF(B618&lt;45,"35-44","45+")))</f>
        <v/>
      </c>
    </row>
    <row r="619">
      <c r="A619" s="23" t="n">
        <v>44479</v>
      </c>
      <c r="B619" s="3" t="n">
        <v>45</v>
      </c>
      <c r="C619" s="3" t="inlineStr">
        <is>
          <t>F</t>
        </is>
      </c>
      <c r="D619" s="3" t="inlineStr">
        <is>
          <t>Australia</t>
        </is>
      </c>
      <c r="E619" s="3" t="inlineStr">
        <is>
          <t>New South Wales</t>
        </is>
      </c>
      <c r="F619" s="3" t="inlineStr">
        <is>
          <t>Road Bikes</t>
        </is>
      </c>
      <c r="G619" s="3" t="inlineStr">
        <is>
          <t>Yellow</t>
        </is>
      </c>
      <c r="H619" s="3" t="inlineStr">
        <is>
          <t>Road-550-W Yellow, 40</t>
        </is>
      </c>
      <c r="I619" s="4" t="n">
        <v>1</v>
      </c>
      <c r="J619" s="24" t="n">
        <v>500</v>
      </c>
      <c r="K619" s="24" t="n">
        <v>800</v>
      </c>
      <c r="L619" s="25">
        <f>I619*K619</f>
        <v/>
      </c>
      <c r="M619" s="25">
        <f>I619*J619</f>
        <v/>
      </c>
      <c r="N619" s="25">
        <f>L619-M619</f>
        <v/>
      </c>
      <c r="O619" s="26">
        <f>IFERROR(N619/L619,0)</f>
        <v/>
      </c>
      <c r="P619">
        <f>YEAR(A619)</f>
        <v/>
      </c>
      <c r="Q619">
        <f>TEXT(A619,"mmm")</f>
        <v/>
      </c>
      <c r="R619">
        <f>IF(B619&lt;25,"18-24",IF(B619&lt;35,"25-34",IF(B619&lt;45,"35-44","45+")))</f>
        <v/>
      </c>
    </row>
    <row r="620">
      <c r="A620" s="23" t="n">
        <v>44481</v>
      </c>
      <c r="B620" s="3" t="n">
        <v>45</v>
      </c>
      <c r="C620" s="3" t="inlineStr">
        <is>
          <t>M</t>
        </is>
      </c>
      <c r="D620" s="3" t="inlineStr">
        <is>
          <t>United States</t>
        </is>
      </c>
      <c r="E620" s="3" t="inlineStr">
        <is>
          <t>Washington</t>
        </is>
      </c>
      <c r="F620" s="3" t="inlineStr">
        <is>
          <t>Road Bikes</t>
        </is>
      </c>
      <c r="G620" s="3" t="inlineStr">
        <is>
          <t>Red</t>
        </is>
      </c>
      <c r="H620" s="3" t="inlineStr">
        <is>
          <t>Road-150 Red, 56</t>
        </is>
      </c>
      <c r="I620" s="4" t="n">
        <v>1</v>
      </c>
      <c r="J620" s="24" t="n">
        <v>900</v>
      </c>
      <c r="K620" s="24" t="n">
        <v>1400</v>
      </c>
      <c r="L620" s="25">
        <f>I620*K620</f>
        <v/>
      </c>
      <c r="M620" s="25">
        <f>I620*J620</f>
        <v/>
      </c>
      <c r="N620" s="25">
        <f>L620-M620</f>
        <v/>
      </c>
      <c r="O620" s="26">
        <f>IFERROR(N620/L620,0)</f>
        <v/>
      </c>
      <c r="P620">
        <f>YEAR(A620)</f>
        <v/>
      </c>
      <c r="Q620">
        <f>TEXT(A620,"mmm")</f>
        <v/>
      </c>
      <c r="R620">
        <f>IF(B620&lt;25,"18-24",IF(B620&lt;35,"25-34",IF(B620&lt;45,"35-44","45+")))</f>
        <v/>
      </c>
    </row>
    <row r="621">
      <c r="A621" s="23" t="n">
        <v>44482</v>
      </c>
      <c r="B621" s="3" t="n">
        <v>45</v>
      </c>
      <c r="C621" s="3" t="inlineStr">
        <is>
          <t>M</t>
        </is>
      </c>
      <c r="D621" s="3" t="inlineStr">
        <is>
          <t>Australia</t>
        </is>
      </c>
      <c r="E621" s="3" t="inlineStr">
        <is>
          <t>South Australia</t>
        </is>
      </c>
      <c r="F621" s="3" t="inlineStr">
        <is>
          <t>Road Bikes</t>
        </is>
      </c>
      <c r="G621" s="3" t="inlineStr">
        <is>
          <t>Black</t>
        </is>
      </c>
      <c r="H621" s="3" t="inlineStr">
        <is>
          <t>Road-750 Black, 44</t>
        </is>
      </c>
      <c r="I621" s="4" t="n">
        <v>1</v>
      </c>
      <c r="J621" s="24" t="n">
        <v>700</v>
      </c>
      <c r="K621" s="24" t="n">
        <v>1100</v>
      </c>
      <c r="L621" s="25">
        <f>I621*K621</f>
        <v/>
      </c>
      <c r="M621" s="25">
        <f>I621*J621</f>
        <v/>
      </c>
      <c r="N621" s="25">
        <f>L621-M621</f>
        <v/>
      </c>
      <c r="O621" s="26">
        <f>IFERROR(N621/L621,0)</f>
        <v/>
      </c>
      <c r="P621">
        <f>YEAR(A621)</f>
        <v/>
      </c>
      <c r="Q621">
        <f>TEXT(A621,"mmm")</f>
        <v/>
      </c>
      <c r="R621">
        <f>IF(B621&lt;25,"18-24",IF(B621&lt;35,"25-34",IF(B621&lt;45,"35-44","45+")))</f>
        <v/>
      </c>
    </row>
    <row r="622">
      <c r="A622" s="23" t="n">
        <v>44483</v>
      </c>
      <c r="B622" s="3" t="n">
        <v>45</v>
      </c>
      <c r="C622" s="3" t="inlineStr">
        <is>
          <t>F</t>
        </is>
      </c>
      <c r="D622" s="3" t="inlineStr">
        <is>
          <t>Australia</t>
        </is>
      </c>
      <c r="E622" s="3" t="inlineStr">
        <is>
          <t>Victoria</t>
        </is>
      </c>
      <c r="F622" s="3" t="inlineStr">
        <is>
          <t>Road Bikes</t>
        </is>
      </c>
      <c r="G622" s="3" t="inlineStr">
        <is>
          <t>Black</t>
        </is>
      </c>
      <c r="H622" s="3" t="inlineStr">
        <is>
          <t>Road-750 Black, 48</t>
        </is>
      </c>
      <c r="I622" s="4" t="n">
        <v>2</v>
      </c>
      <c r="J622" s="24" t="n">
        <v>700</v>
      </c>
      <c r="K622" s="24" t="n">
        <v>1100</v>
      </c>
      <c r="L622" s="25">
        <f>I622*K622</f>
        <v/>
      </c>
      <c r="M622" s="25">
        <f>I622*J622</f>
        <v/>
      </c>
      <c r="N622" s="25">
        <f>L622-M622</f>
        <v/>
      </c>
      <c r="O622" s="26">
        <f>IFERROR(N622/L622,0)</f>
        <v/>
      </c>
      <c r="P622">
        <f>YEAR(A622)</f>
        <v/>
      </c>
      <c r="Q622">
        <f>TEXT(A622,"mmm")</f>
        <v/>
      </c>
      <c r="R622">
        <f>IF(B622&lt;25,"18-24",IF(B622&lt;35,"25-34",IF(B622&lt;45,"35-44","45+")))</f>
        <v/>
      </c>
    </row>
    <row r="623">
      <c r="A623" s="23" t="n">
        <v>44486</v>
      </c>
      <c r="B623" s="3" t="n">
        <v>45</v>
      </c>
      <c r="C623" s="3" t="inlineStr">
        <is>
          <t>F</t>
        </is>
      </c>
      <c r="D623" s="3" t="inlineStr">
        <is>
          <t>United States</t>
        </is>
      </c>
      <c r="E623" s="3" t="inlineStr">
        <is>
          <t>Washington</t>
        </is>
      </c>
      <c r="F623" s="3" t="inlineStr">
        <is>
          <t>Road Bikes</t>
        </is>
      </c>
      <c r="G623" s="3" t="inlineStr">
        <is>
          <t>Black</t>
        </is>
      </c>
      <c r="H623" s="3" t="inlineStr">
        <is>
          <t>Road-250 Black, 52</t>
        </is>
      </c>
      <c r="I623" s="4" t="n">
        <v>3</v>
      </c>
      <c r="J623" s="24" t="n">
        <v>580</v>
      </c>
      <c r="K623" s="24" t="n">
        <v>920</v>
      </c>
      <c r="L623" s="25">
        <f>I623*K623</f>
        <v/>
      </c>
      <c r="M623" s="25">
        <f>I623*J623</f>
        <v/>
      </c>
      <c r="N623" s="25">
        <f>L623-M623</f>
        <v/>
      </c>
      <c r="O623" s="26">
        <f>IFERROR(N623/L623,0)</f>
        <v/>
      </c>
      <c r="P623">
        <f>YEAR(A623)</f>
        <v/>
      </c>
      <c r="Q623">
        <f>TEXT(A623,"mmm")</f>
        <v/>
      </c>
      <c r="R623">
        <f>IF(B623&lt;25,"18-24",IF(B623&lt;35,"25-34",IF(B623&lt;45,"35-44","45+")))</f>
        <v/>
      </c>
    </row>
    <row r="624">
      <c r="A624" s="23" t="n">
        <v>44488</v>
      </c>
      <c r="B624" s="3" t="n">
        <v>45</v>
      </c>
      <c r="C624" s="3" t="inlineStr">
        <is>
          <t>M</t>
        </is>
      </c>
      <c r="D624" s="3" t="inlineStr">
        <is>
          <t>United States</t>
        </is>
      </c>
      <c r="E624" s="3" t="inlineStr">
        <is>
          <t>Washington</t>
        </is>
      </c>
      <c r="F624" s="3" t="inlineStr">
        <is>
          <t>Road Bikes</t>
        </is>
      </c>
      <c r="G624" s="3" t="inlineStr">
        <is>
          <t>Red</t>
        </is>
      </c>
      <c r="H624" s="3" t="inlineStr">
        <is>
          <t>Road-150 Red, 56</t>
        </is>
      </c>
      <c r="I624" s="4" t="n">
        <v>2</v>
      </c>
      <c r="J624" s="24" t="n">
        <v>900</v>
      </c>
      <c r="K624" s="24" t="n">
        <v>1400</v>
      </c>
      <c r="L624" s="25">
        <f>I624*K624</f>
        <v/>
      </c>
      <c r="M624" s="25">
        <f>I624*J624</f>
        <v/>
      </c>
      <c r="N624" s="25">
        <f>L624-M624</f>
        <v/>
      </c>
      <c r="O624" s="26">
        <f>IFERROR(N624/L624,0)</f>
        <v/>
      </c>
      <c r="P624">
        <f>YEAR(A624)</f>
        <v/>
      </c>
      <c r="Q624">
        <f>TEXT(A624,"mmm")</f>
        <v/>
      </c>
      <c r="R624">
        <f>IF(B624&lt;25,"18-24",IF(B624&lt;35,"25-34",IF(B624&lt;45,"35-44","45+")))</f>
        <v/>
      </c>
    </row>
    <row r="625">
      <c r="A625" s="23" t="n">
        <v>44491</v>
      </c>
      <c r="B625" s="3" t="n">
        <v>45</v>
      </c>
      <c r="C625" s="3" t="inlineStr">
        <is>
          <t>F</t>
        </is>
      </c>
      <c r="D625" s="3" t="inlineStr">
        <is>
          <t>United States</t>
        </is>
      </c>
      <c r="E625" s="3" t="inlineStr">
        <is>
          <t>California</t>
        </is>
      </c>
      <c r="F625" s="3" t="inlineStr">
        <is>
          <t>Road Bikes</t>
        </is>
      </c>
      <c r="G625" s="3" t="inlineStr">
        <is>
          <t>Black</t>
        </is>
      </c>
      <c r="H625" s="3" t="inlineStr">
        <is>
          <t>Road-750 Black, 52</t>
        </is>
      </c>
      <c r="I625" s="4" t="n">
        <v>1</v>
      </c>
      <c r="J625" s="24" t="n">
        <v>700</v>
      </c>
      <c r="K625" s="24" t="n">
        <v>1100</v>
      </c>
      <c r="L625" s="25">
        <f>I625*K625</f>
        <v/>
      </c>
      <c r="M625" s="25">
        <f>I625*J625</f>
        <v/>
      </c>
      <c r="N625" s="25">
        <f>L625-M625</f>
        <v/>
      </c>
      <c r="O625" s="26">
        <f>IFERROR(N625/L625,0)</f>
        <v/>
      </c>
      <c r="P625">
        <f>YEAR(A625)</f>
        <v/>
      </c>
      <c r="Q625">
        <f>TEXT(A625,"mmm")</f>
        <v/>
      </c>
      <c r="R625">
        <f>IF(B625&lt;25,"18-24",IF(B625&lt;35,"25-34",IF(B625&lt;45,"35-44","45+")))</f>
        <v/>
      </c>
    </row>
    <row r="626">
      <c r="A626" s="23" t="n">
        <v>44500</v>
      </c>
      <c r="B626" s="3" t="n">
        <v>45</v>
      </c>
      <c r="C626" s="3" t="inlineStr">
        <is>
          <t>F</t>
        </is>
      </c>
      <c r="D626" s="3" t="inlineStr">
        <is>
          <t>United States</t>
        </is>
      </c>
      <c r="E626" s="3" t="inlineStr">
        <is>
          <t>California</t>
        </is>
      </c>
      <c r="F626" s="3" t="inlineStr">
        <is>
          <t>Road Bikes</t>
        </is>
      </c>
      <c r="G626" s="3" t="inlineStr">
        <is>
          <t>Black</t>
        </is>
      </c>
      <c r="H626" s="3" t="inlineStr">
        <is>
          <t>Road-750 Black, 52</t>
        </is>
      </c>
      <c r="I626" s="4" t="n">
        <v>2</v>
      </c>
      <c r="J626" s="24" t="n">
        <v>700</v>
      </c>
      <c r="K626" s="24" t="n">
        <v>1100</v>
      </c>
      <c r="L626" s="25">
        <f>I626*K626</f>
        <v/>
      </c>
      <c r="M626" s="25">
        <f>I626*J626</f>
        <v/>
      </c>
      <c r="N626" s="25">
        <f>L626-M626</f>
        <v/>
      </c>
      <c r="O626" s="26">
        <f>IFERROR(N626/L626,0)</f>
        <v/>
      </c>
      <c r="P626">
        <f>YEAR(A626)</f>
        <v/>
      </c>
      <c r="Q626">
        <f>TEXT(A626,"mmm")</f>
        <v/>
      </c>
      <c r="R626">
        <f>IF(B626&lt;25,"18-24",IF(B626&lt;35,"25-34",IF(B626&lt;45,"35-44","45+")))</f>
        <v/>
      </c>
    </row>
    <row r="627">
      <c r="A627" s="23" t="n">
        <v>44503</v>
      </c>
      <c r="B627" s="3" t="n">
        <v>45</v>
      </c>
      <c r="C627" s="3" t="inlineStr">
        <is>
          <t>F</t>
        </is>
      </c>
      <c r="D627" s="3" t="inlineStr">
        <is>
          <t>Canada</t>
        </is>
      </c>
      <c r="E627" s="3" t="inlineStr">
        <is>
          <t>British Columbia</t>
        </is>
      </c>
      <c r="F627" s="3" t="inlineStr">
        <is>
          <t>Mountain Bikes</t>
        </is>
      </c>
      <c r="G627" s="3" t="inlineStr">
        <is>
          <t>Silver</t>
        </is>
      </c>
      <c r="H627" s="3" t="inlineStr">
        <is>
          <t>Mountain-200 Silver, 38</t>
        </is>
      </c>
      <c r="I627" s="4" t="n">
        <v>1</v>
      </c>
      <c r="J627" s="24" t="n">
        <v>550</v>
      </c>
      <c r="K627" s="24" t="n">
        <v>850</v>
      </c>
      <c r="L627" s="25">
        <f>I627*K627</f>
        <v/>
      </c>
      <c r="M627" s="25">
        <f>I627*J627</f>
        <v/>
      </c>
      <c r="N627" s="25">
        <f>L627-M627</f>
        <v/>
      </c>
      <c r="O627" s="26">
        <f>IFERROR(N627/L627,0)</f>
        <v/>
      </c>
      <c r="P627">
        <f>YEAR(A627)</f>
        <v/>
      </c>
      <c r="Q627">
        <f>TEXT(A627,"mmm")</f>
        <v/>
      </c>
      <c r="R627">
        <f>IF(B627&lt;25,"18-24",IF(B627&lt;35,"25-34",IF(B627&lt;45,"35-44","45+")))</f>
        <v/>
      </c>
    </row>
    <row r="628">
      <c r="A628" s="23" t="n">
        <v>44519</v>
      </c>
      <c r="B628" s="3" t="n">
        <v>45</v>
      </c>
      <c r="C628" s="3" t="inlineStr">
        <is>
          <t>M</t>
        </is>
      </c>
      <c r="D628" s="3" t="inlineStr">
        <is>
          <t>United Kingdom</t>
        </is>
      </c>
      <c r="E628" s="3" t="inlineStr">
        <is>
          <t>England</t>
        </is>
      </c>
      <c r="F628" s="3" t="inlineStr">
        <is>
          <t>Road Bikes</t>
        </is>
      </c>
      <c r="G628" s="3" t="inlineStr">
        <is>
          <t>Black</t>
        </is>
      </c>
      <c r="H628" s="3" t="inlineStr">
        <is>
          <t>Road-650 Black, 60</t>
        </is>
      </c>
      <c r="I628" s="4" t="n">
        <v>1</v>
      </c>
      <c r="J628" s="24" t="n">
        <v>620</v>
      </c>
      <c r="K628" s="24" t="n">
        <v>980</v>
      </c>
      <c r="L628" s="25">
        <f>I628*K628</f>
        <v/>
      </c>
      <c r="M628" s="25">
        <f>I628*J628</f>
        <v/>
      </c>
      <c r="N628" s="25">
        <f>L628-M628</f>
        <v/>
      </c>
      <c r="O628" s="26">
        <f>IFERROR(N628/L628,0)</f>
        <v/>
      </c>
      <c r="P628">
        <f>YEAR(A628)</f>
        <v/>
      </c>
      <c r="Q628">
        <f>TEXT(A628,"mmm")</f>
        <v/>
      </c>
      <c r="R628">
        <f>IF(B628&lt;25,"18-24",IF(B628&lt;35,"25-34",IF(B628&lt;45,"35-44","45+")))</f>
        <v/>
      </c>
    </row>
    <row r="629">
      <c r="A629" s="23" t="n">
        <v>44522</v>
      </c>
      <c r="B629" s="3" t="n">
        <v>45</v>
      </c>
      <c r="C629" s="3" t="inlineStr">
        <is>
          <t>M</t>
        </is>
      </c>
      <c r="D629" s="3" t="inlineStr">
        <is>
          <t>United Kingdom</t>
        </is>
      </c>
      <c r="E629" s="3" t="inlineStr">
        <is>
          <t>England</t>
        </is>
      </c>
      <c r="F629" s="3" t="inlineStr">
        <is>
          <t>Road Bikes</t>
        </is>
      </c>
      <c r="G629" s="3" t="inlineStr">
        <is>
          <t>Black</t>
        </is>
      </c>
      <c r="H629" s="3" t="inlineStr">
        <is>
          <t>Road-650 Black, 60</t>
        </is>
      </c>
      <c r="I629" s="4" t="n">
        <v>2</v>
      </c>
      <c r="J629" s="24" t="n">
        <v>620</v>
      </c>
      <c r="K629" s="24" t="n">
        <v>980</v>
      </c>
      <c r="L629" s="25">
        <f>I629*K629</f>
        <v/>
      </c>
      <c r="M629" s="25">
        <f>I629*J629</f>
        <v/>
      </c>
      <c r="N629" s="25">
        <f>L629-M629</f>
        <v/>
      </c>
      <c r="O629" s="26">
        <f>IFERROR(N629/L629,0)</f>
        <v/>
      </c>
      <c r="P629">
        <f>YEAR(A629)</f>
        <v/>
      </c>
      <c r="Q629">
        <f>TEXT(A629,"mmm")</f>
        <v/>
      </c>
      <c r="R629">
        <f>IF(B629&lt;25,"18-24",IF(B629&lt;35,"25-34",IF(B629&lt;45,"35-44","45+")))</f>
        <v/>
      </c>
    </row>
    <row r="630">
      <c r="A630" s="23" t="n">
        <v>44533</v>
      </c>
      <c r="B630" s="3" t="n">
        <v>45</v>
      </c>
      <c r="C630" s="3" t="inlineStr">
        <is>
          <t>F</t>
        </is>
      </c>
      <c r="D630" s="3" t="inlineStr">
        <is>
          <t>Australia</t>
        </is>
      </c>
      <c r="E630" s="3" t="inlineStr">
        <is>
          <t>New South Wales</t>
        </is>
      </c>
      <c r="F630" s="3" t="inlineStr">
        <is>
          <t>Road Bikes</t>
        </is>
      </c>
      <c r="G630" s="3" t="inlineStr">
        <is>
          <t>Yellow</t>
        </is>
      </c>
      <c r="H630" s="3" t="inlineStr">
        <is>
          <t>Road-550-W Yellow, 40</t>
        </is>
      </c>
      <c r="I630" s="4" t="n">
        <v>1</v>
      </c>
      <c r="J630" s="24" t="n">
        <v>500</v>
      </c>
      <c r="K630" s="24" t="n">
        <v>800</v>
      </c>
      <c r="L630" s="25">
        <f>I630*K630</f>
        <v/>
      </c>
      <c r="M630" s="25">
        <f>I630*J630</f>
        <v/>
      </c>
      <c r="N630" s="25">
        <f>L630-M630</f>
        <v/>
      </c>
      <c r="O630" s="26">
        <f>IFERROR(N630/L630,0)</f>
        <v/>
      </c>
      <c r="P630">
        <f>YEAR(A630)</f>
        <v/>
      </c>
      <c r="Q630">
        <f>TEXT(A630,"mmm")</f>
        <v/>
      </c>
      <c r="R630">
        <f>IF(B630&lt;25,"18-24",IF(B630&lt;35,"25-34",IF(B630&lt;45,"35-44","45+")))</f>
        <v/>
      </c>
    </row>
    <row r="631">
      <c r="A631" s="23" t="n">
        <v>44537</v>
      </c>
      <c r="B631" s="3" t="n">
        <v>45</v>
      </c>
      <c r="C631" s="3" t="inlineStr">
        <is>
          <t>M</t>
        </is>
      </c>
      <c r="D631" s="3" t="inlineStr">
        <is>
          <t>Germany</t>
        </is>
      </c>
      <c r="E631" s="3" t="inlineStr">
        <is>
          <t>Hamburg</t>
        </is>
      </c>
      <c r="F631" s="3" t="inlineStr">
        <is>
          <t>Road Bikes</t>
        </is>
      </c>
      <c r="G631" s="3" t="inlineStr">
        <is>
          <t>Black</t>
        </is>
      </c>
      <c r="H631" s="3" t="inlineStr">
        <is>
          <t>Road-750 Black, 48</t>
        </is>
      </c>
      <c r="I631" s="4" t="n">
        <v>4</v>
      </c>
      <c r="J631" s="24" t="n">
        <v>700</v>
      </c>
      <c r="K631" s="24" t="n">
        <v>1100</v>
      </c>
      <c r="L631" s="25">
        <f>I631*K631</f>
        <v/>
      </c>
      <c r="M631" s="25">
        <f>I631*J631</f>
        <v/>
      </c>
      <c r="N631" s="25">
        <f>L631-M631</f>
        <v/>
      </c>
      <c r="O631" s="26">
        <f>IFERROR(N631/L631,0)</f>
        <v/>
      </c>
      <c r="P631">
        <f>YEAR(A631)</f>
        <v/>
      </c>
      <c r="Q631">
        <f>TEXT(A631,"mmm")</f>
        <v/>
      </c>
      <c r="R631">
        <f>IF(B631&lt;25,"18-24",IF(B631&lt;35,"25-34",IF(B631&lt;45,"35-44","45+")))</f>
        <v/>
      </c>
    </row>
    <row r="632">
      <c r="A632" s="23" t="n">
        <v>44537</v>
      </c>
      <c r="B632" s="3" t="n">
        <v>45</v>
      </c>
      <c r="C632" s="3" t="inlineStr">
        <is>
          <t>M</t>
        </is>
      </c>
      <c r="D632" s="3" t="inlineStr">
        <is>
          <t>United States</t>
        </is>
      </c>
      <c r="E632" s="3" t="inlineStr">
        <is>
          <t>Washington</t>
        </is>
      </c>
      <c r="F632" s="3" t="inlineStr">
        <is>
          <t>Road Bikes</t>
        </is>
      </c>
      <c r="G632" s="3" t="inlineStr">
        <is>
          <t>Red</t>
        </is>
      </c>
      <c r="H632" s="3" t="inlineStr">
        <is>
          <t>Road-150 Red, 56</t>
        </is>
      </c>
      <c r="I632" s="4" t="n">
        <v>1</v>
      </c>
      <c r="J632" s="24" t="n">
        <v>900</v>
      </c>
      <c r="K632" s="24" t="n">
        <v>1400</v>
      </c>
      <c r="L632" s="25">
        <f>I632*K632</f>
        <v/>
      </c>
      <c r="M632" s="25">
        <f>I632*J632</f>
        <v/>
      </c>
      <c r="N632" s="25">
        <f>L632-M632</f>
        <v/>
      </c>
      <c r="O632" s="26">
        <f>IFERROR(N632/L632,0)</f>
        <v/>
      </c>
      <c r="P632">
        <f>YEAR(A632)</f>
        <v/>
      </c>
      <c r="Q632">
        <f>TEXT(A632,"mmm")</f>
        <v/>
      </c>
      <c r="R632">
        <f>IF(B632&lt;25,"18-24",IF(B632&lt;35,"25-34",IF(B632&lt;45,"35-44","45+")))</f>
        <v/>
      </c>
    </row>
    <row r="633">
      <c r="A633" s="23" t="n">
        <v>44538</v>
      </c>
      <c r="B633" s="3" t="n">
        <v>45</v>
      </c>
      <c r="C633" s="3" t="inlineStr">
        <is>
          <t>M</t>
        </is>
      </c>
      <c r="D633" s="3" t="inlineStr">
        <is>
          <t>United Kingdom</t>
        </is>
      </c>
      <c r="E633" s="3" t="inlineStr">
        <is>
          <t>England</t>
        </is>
      </c>
      <c r="F633" s="3" t="inlineStr">
        <is>
          <t>Road Bikes</t>
        </is>
      </c>
      <c r="G633" s="3" t="inlineStr">
        <is>
          <t>Black</t>
        </is>
      </c>
      <c r="H633" s="3" t="inlineStr">
        <is>
          <t>Road-650 Black, 60</t>
        </is>
      </c>
      <c r="I633" s="4" t="n">
        <v>1</v>
      </c>
      <c r="J633" s="24" t="n">
        <v>620</v>
      </c>
      <c r="K633" s="24" t="n">
        <v>980</v>
      </c>
      <c r="L633" s="25">
        <f>I633*K633</f>
        <v/>
      </c>
      <c r="M633" s="25">
        <f>I633*J633</f>
        <v/>
      </c>
      <c r="N633" s="25">
        <f>L633-M633</f>
        <v/>
      </c>
      <c r="O633" s="26">
        <f>IFERROR(N633/L633,0)</f>
        <v/>
      </c>
      <c r="P633">
        <f>YEAR(A633)</f>
        <v/>
      </c>
      <c r="Q633">
        <f>TEXT(A633,"mmm")</f>
        <v/>
      </c>
      <c r="R633">
        <f>IF(B633&lt;25,"18-24",IF(B633&lt;35,"25-34",IF(B633&lt;45,"35-44","45+")))</f>
        <v/>
      </c>
    </row>
    <row r="634">
      <c r="A634" s="23" t="n">
        <v>44548</v>
      </c>
      <c r="B634" s="3" t="n">
        <v>45</v>
      </c>
      <c r="C634" s="3" t="inlineStr">
        <is>
          <t>F</t>
        </is>
      </c>
      <c r="D634" s="3" t="inlineStr">
        <is>
          <t>Australia</t>
        </is>
      </c>
      <c r="E634" s="3" t="inlineStr">
        <is>
          <t>New South Wales</t>
        </is>
      </c>
      <c r="F634" s="3" t="inlineStr">
        <is>
          <t>Road Bikes</t>
        </is>
      </c>
      <c r="G634" s="3" t="inlineStr">
        <is>
          <t>Yellow</t>
        </is>
      </c>
      <c r="H634" s="3" t="inlineStr">
        <is>
          <t>Road-550-W Yellow, 40</t>
        </is>
      </c>
      <c r="I634" s="4" t="n">
        <v>1</v>
      </c>
      <c r="J634" s="24" t="n">
        <v>500</v>
      </c>
      <c r="K634" s="24" t="n">
        <v>800</v>
      </c>
      <c r="L634" s="25">
        <f>I634*K634</f>
        <v/>
      </c>
      <c r="M634" s="25">
        <f>I634*J634</f>
        <v/>
      </c>
      <c r="N634" s="25">
        <f>L634-M634</f>
        <v/>
      </c>
      <c r="O634" s="26">
        <f>IFERROR(N634/L634,0)</f>
        <v/>
      </c>
      <c r="P634">
        <f>YEAR(A634)</f>
        <v/>
      </c>
      <c r="Q634">
        <f>TEXT(A634,"mmm")</f>
        <v/>
      </c>
      <c r="R634">
        <f>IF(B634&lt;25,"18-24",IF(B634&lt;35,"25-34",IF(B634&lt;45,"35-44","45+")))</f>
        <v/>
      </c>
    </row>
    <row r="635">
      <c r="A635" s="23" t="n">
        <v>44558</v>
      </c>
      <c r="B635" s="3" t="n">
        <v>45</v>
      </c>
      <c r="C635" s="3" t="inlineStr">
        <is>
          <t>F</t>
        </is>
      </c>
      <c r="D635" s="3" t="inlineStr">
        <is>
          <t>Australia</t>
        </is>
      </c>
      <c r="E635" s="3" t="inlineStr">
        <is>
          <t>Queensland</t>
        </is>
      </c>
      <c r="F635" s="3" t="inlineStr">
        <is>
          <t>Road Bikes</t>
        </is>
      </c>
      <c r="G635" s="3" t="inlineStr">
        <is>
          <t>Black</t>
        </is>
      </c>
      <c r="H635" s="3" t="inlineStr">
        <is>
          <t>Road-750 Black, 48</t>
        </is>
      </c>
      <c r="I635" s="4" t="n">
        <v>4</v>
      </c>
      <c r="J635" s="24" t="n">
        <v>700</v>
      </c>
      <c r="K635" s="24" t="n">
        <v>1100</v>
      </c>
      <c r="L635" s="25">
        <f>I635*K635</f>
        <v/>
      </c>
      <c r="M635" s="25">
        <f>I635*J635</f>
        <v/>
      </c>
      <c r="N635" s="25">
        <f>L635-M635</f>
        <v/>
      </c>
      <c r="O635" s="26">
        <f>IFERROR(N635/L635,0)</f>
        <v/>
      </c>
      <c r="P635">
        <f>YEAR(A635)</f>
        <v/>
      </c>
      <c r="Q635">
        <f>TEXT(A635,"mmm")</f>
        <v/>
      </c>
      <c r="R635">
        <f>IF(B635&lt;25,"18-24",IF(B635&lt;35,"25-34",IF(B635&lt;45,"35-44","45+")))</f>
        <v/>
      </c>
    </row>
    <row r="636">
      <c r="A636" s="23" t="n">
        <v>44559</v>
      </c>
      <c r="B636" s="3" t="n">
        <v>45</v>
      </c>
      <c r="C636" s="3" t="inlineStr">
        <is>
          <t>F</t>
        </is>
      </c>
      <c r="D636" s="3" t="inlineStr">
        <is>
          <t>United States</t>
        </is>
      </c>
      <c r="E636" s="3" t="inlineStr">
        <is>
          <t>California</t>
        </is>
      </c>
      <c r="F636" s="3" t="inlineStr">
        <is>
          <t>Road Bikes</t>
        </is>
      </c>
      <c r="G636" s="3" t="inlineStr">
        <is>
          <t>Black</t>
        </is>
      </c>
      <c r="H636" s="3" t="inlineStr">
        <is>
          <t>Road-750 Black, 52</t>
        </is>
      </c>
      <c r="I636" s="4" t="n">
        <v>1</v>
      </c>
      <c r="J636" s="24" t="n">
        <v>700</v>
      </c>
      <c r="K636" s="24" t="n">
        <v>1100</v>
      </c>
      <c r="L636" s="25">
        <f>I636*K636</f>
        <v/>
      </c>
      <c r="M636" s="25">
        <f>I636*J636</f>
        <v/>
      </c>
      <c r="N636" s="25">
        <f>L636-M636</f>
        <v/>
      </c>
      <c r="O636" s="26">
        <f>IFERROR(N636/L636,0)</f>
        <v/>
      </c>
      <c r="P636">
        <f>YEAR(A636)</f>
        <v/>
      </c>
      <c r="Q636">
        <f>TEXT(A636,"mmm")</f>
        <v/>
      </c>
      <c r="R636">
        <f>IF(B636&lt;25,"18-24",IF(B636&lt;35,"25-34",IF(B636&lt;45,"35-44","45+")))</f>
        <v/>
      </c>
    </row>
    <row r="637">
      <c r="A637" s="23" t="n">
        <v>44471</v>
      </c>
      <c r="B637" s="3" t="n">
        <v>46</v>
      </c>
      <c r="C637" s="3" t="inlineStr">
        <is>
          <t>M</t>
        </is>
      </c>
      <c r="D637" s="3" t="inlineStr">
        <is>
          <t>United States</t>
        </is>
      </c>
      <c r="E637" s="3" t="inlineStr">
        <is>
          <t>California</t>
        </is>
      </c>
      <c r="F637" s="3" t="inlineStr">
        <is>
          <t>Road Bikes</t>
        </is>
      </c>
      <c r="G637" s="3" t="inlineStr">
        <is>
          <t>Red</t>
        </is>
      </c>
      <c r="H637" s="3" t="inlineStr">
        <is>
          <t>Road-150 Red, 52</t>
        </is>
      </c>
      <c r="I637" s="4" t="n">
        <v>1</v>
      </c>
      <c r="J637" s="24" t="n">
        <v>900</v>
      </c>
      <c r="K637" s="24" t="n">
        <v>1400</v>
      </c>
      <c r="L637" s="25">
        <f>I637*K637</f>
        <v/>
      </c>
      <c r="M637" s="25">
        <f>I637*J637</f>
        <v/>
      </c>
      <c r="N637" s="25">
        <f>L637-M637</f>
        <v/>
      </c>
      <c r="O637" s="26">
        <f>IFERROR(N637/L637,0)</f>
        <v/>
      </c>
      <c r="P637">
        <f>YEAR(A637)</f>
        <v/>
      </c>
      <c r="Q637">
        <f>TEXT(A637,"mmm")</f>
        <v/>
      </c>
      <c r="R637">
        <f>IF(B637&lt;25,"18-24",IF(B637&lt;35,"25-34",IF(B637&lt;45,"35-44","45+")))</f>
        <v/>
      </c>
    </row>
    <row r="638">
      <c r="A638" s="23" t="n">
        <v>44472</v>
      </c>
      <c r="B638" s="3" t="n">
        <v>46</v>
      </c>
      <c r="C638" s="3" t="inlineStr">
        <is>
          <t>M</t>
        </is>
      </c>
      <c r="D638" s="3" t="inlineStr">
        <is>
          <t>Australia</t>
        </is>
      </c>
      <c r="E638" s="3" t="inlineStr">
        <is>
          <t>New South Wales</t>
        </is>
      </c>
      <c r="F638" s="3" t="inlineStr">
        <is>
          <t>Road Bikes</t>
        </is>
      </c>
      <c r="G638" s="3" t="inlineStr">
        <is>
          <t>Black</t>
        </is>
      </c>
      <c r="H638" s="3" t="inlineStr">
        <is>
          <t>Road-750 Black, 48</t>
        </is>
      </c>
      <c r="I638" s="4" t="n">
        <v>4</v>
      </c>
      <c r="J638" s="24" t="n">
        <v>700</v>
      </c>
      <c r="K638" s="24" t="n">
        <v>1100</v>
      </c>
      <c r="L638" s="25">
        <f>I638*K638</f>
        <v/>
      </c>
      <c r="M638" s="25">
        <f>I638*J638</f>
        <v/>
      </c>
      <c r="N638" s="25">
        <f>L638-M638</f>
        <v/>
      </c>
      <c r="O638" s="26">
        <f>IFERROR(N638/L638,0)</f>
        <v/>
      </c>
      <c r="P638">
        <f>YEAR(A638)</f>
        <v/>
      </c>
      <c r="Q638">
        <f>TEXT(A638,"mmm")</f>
        <v/>
      </c>
      <c r="R638">
        <f>IF(B638&lt;25,"18-24",IF(B638&lt;35,"25-34",IF(B638&lt;45,"35-44","45+")))</f>
        <v/>
      </c>
    </row>
    <row r="639">
      <c r="A639" s="23" t="n">
        <v>44476</v>
      </c>
      <c r="B639" s="3" t="n">
        <v>46</v>
      </c>
      <c r="C639" s="3" t="inlineStr">
        <is>
          <t>F</t>
        </is>
      </c>
      <c r="D639" s="3" t="inlineStr">
        <is>
          <t>United States</t>
        </is>
      </c>
      <c r="E639" s="3" t="inlineStr">
        <is>
          <t>California</t>
        </is>
      </c>
      <c r="F639" s="3" t="inlineStr">
        <is>
          <t>Road Bikes</t>
        </is>
      </c>
      <c r="G639" s="3" t="inlineStr">
        <is>
          <t>Yellow</t>
        </is>
      </c>
      <c r="H639" s="3" t="inlineStr">
        <is>
          <t>Road-350-W Yellow, 48</t>
        </is>
      </c>
      <c r="I639" s="4" t="n">
        <v>2</v>
      </c>
      <c r="J639" s="24" t="n">
        <v>530</v>
      </c>
      <c r="K639" s="24" t="n">
        <v>840</v>
      </c>
      <c r="L639" s="25">
        <f>I639*K639</f>
        <v/>
      </c>
      <c r="M639" s="25">
        <f>I639*J639</f>
        <v/>
      </c>
      <c r="N639" s="25">
        <f>L639-M639</f>
        <v/>
      </c>
      <c r="O639" s="26">
        <f>IFERROR(N639/L639,0)</f>
        <v/>
      </c>
      <c r="P639">
        <f>YEAR(A639)</f>
        <v/>
      </c>
      <c r="Q639">
        <f>TEXT(A639,"mmm")</f>
        <v/>
      </c>
      <c r="R639">
        <f>IF(B639&lt;25,"18-24",IF(B639&lt;35,"25-34",IF(B639&lt;45,"35-44","45+")))</f>
        <v/>
      </c>
    </row>
    <row r="640">
      <c r="A640" s="23" t="n">
        <v>44476</v>
      </c>
      <c r="B640" s="3" t="n">
        <v>46</v>
      </c>
      <c r="C640" s="3" t="inlineStr">
        <is>
          <t>M</t>
        </is>
      </c>
      <c r="D640" s="3" t="inlineStr">
        <is>
          <t>United States</t>
        </is>
      </c>
      <c r="E640" s="3" t="inlineStr">
        <is>
          <t>California</t>
        </is>
      </c>
      <c r="F640" s="3" t="inlineStr">
        <is>
          <t>Road Bikes</t>
        </is>
      </c>
      <c r="G640" s="3" t="inlineStr">
        <is>
          <t>Red</t>
        </is>
      </c>
      <c r="H640" s="3" t="inlineStr">
        <is>
          <t>Road-150 Red, 52</t>
        </is>
      </c>
      <c r="I640" s="4" t="n">
        <v>1</v>
      </c>
      <c r="J640" s="24" t="n">
        <v>900</v>
      </c>
      <c r="K640" s="24" t="n">
        <v>1400</v>
      </c>
      <c r="L640" s="25">
        <f>I640*K640</f>
        <v/>
      </c>
      <c r="M640" s="25">
        <f>I640*J640</f>
        <v/>
      </c>
      <c r="N640" s="25">
        <f>L640-M640</f>
        <v/>
      </c>
      <c r="O640" s="26">
        <f>IFERROR(N640/L640,0)</f>
        <v/>
      </c>
      <c r="P640">
        <f>YEAR(A640)</f>
        <v/>
      </c>
      <c r="Q640">
        <f>TEXT(A640,"mmm")</f>
        <v/>
      </c>
      <c r="R640">
        <f>IF(B640&lt;25,"18-24",IF(B640&lt;35,"25-34",IF(B640&lt;45,"35-44","45+")))</f>
        <v/>
      </c>
    </row>
    <row r="641">
      <c r="A641" s="23" t="n">
        <v>44478</v>
      </c>
      <c r="B641" s="3" t="n">
        <v>46</v>
      </c>
      <c r="C641" s="3" t="inlineStr">
        <is>
          <t>M</t>
        </is>
      </c>
      <c r="D641" s="3" t="inlineStr">
        <is>
          <t>France</t>
        </is>
      </c>
      <c r="E641" s="3" t="inlineStr">
        <is>
          <t>Moselle</t>
        </is>
      </c>
      <c r="F641" s="3" t="inlineStr">
        <is>
          <t>Mountain Bikes</t>
        </is>
      </c>
      <c r="G641" s="3" t="inlineStr">
        <is>
          <t>Silver</t>
        </is>
      </c>
      <c r="H641" s="3" t="inlineStr">
        <is>
          <t>Mountain-200 Silver, 46</t>
        </is>
      </c>
      <c r="I641" s="4" t="n">
        <v>2</v>
      </c>
      <c r="J641" s="24" t="n">
        <v>550</v>
      </c>
      <c r="K641" s="24" t="n">
        <v>850</v>
      </c>
      <c r="L641" s="25">
        <f>I641*K641</f>
        <v/>
      </c>
      <c r="M641" s="25">
        <f>I641*J641</f>
        <v/>
      </c>
      <c r="N641" s="25">
        <f>L641-M641</f>
        <v/>
      </c>
      <c r="O641" s="26">
        <f>IFERROR(N641/L641,0)</f>
        <v/>
      </c>
      <c r="P641">
        <f>YEAR(A641)</f>
        <v/>
      </c>
      <c r="Q641">
        <f>TEXT(A641,"mmm")</f>
        <v/>
      </c>
      <c r="R641">
        <f>IF(B641&lt;25,"18-24",IF(B641&lt;35,"25-34",IF(B641&lt;45,"35-44","45+")))</f>
        <v/>
      </c>
    </row>
    <row r="642">
      <c r="A642" s="23" t="n">
        <v>44485</v>
      </c>
      <c r="B642" s="3" t="n">
        <v>46</v>
      </c>
      <c r="C642" s="3" t="inlineStr">
        <is>
          <t>F</t>
        </is>
      </c>
      <c r="D642" s="3" t="inlineStr">
        <is>
          <t>France</t>
        </is>
      </c>
      <c r="E642" s="3" t="inlineStr">
        <is>
          <t>Val de Marne</t>
        </is>
      </c>
      <c r="F642" s="3" t="inlineStr">
        <is>
          <t>Mountain Bikes</t>
        </is>
      </c>
      <c r="G642" s="3" t="inlineStr">
        <is>
          <t>Black</t>
        </is>
      </c>
      <c r="H642" s="3" t="inlineStr">
        <is>
          <t>Mountain-200 Black, 46</t>
        </is>
      </c>
      <c r="I642" s="4" t="n">
        <v>4</v>
      </c>
      <c r="J642" s="24" t="n">
        <v>550</v>
      </c>
      <c r="K642" s="24" t="n">
        <v>850</v>
      </c>
      <c r="L642" s="25">
        <f>I642*K642</f>
        <v/>
      </c>
      <c r="M642" s="25">
        <f>I642*J642</f>
        <v/>
      </c>
      <c r="N642" s="25">
        <f>L642-M642</f>
        <v/>
      </c>
      <c r="O642" s="26">
        <f>IFERROR(N642/L642,0)</f>
        <v/>
      </c>
      <c r="P642">
        <f>YEAR(A642)</f>
        <v/>
      </c>
      <c r="Q642">
        <f>TEXT(A642,"mmm")</f>
        <v/>
      </c>
      <c r="R642">
        <f>IF(B642&lt;25,"18-24",IF(B642&lt;35,"25-34",IF(B642&lt;45,"35-44","45+")))</f>
        <v/>
      </c>
    </row>
    <row r="643">
      <c r="A643" s="23" t="n">
        <v>44485</v>
      </c>
      <c r="B643" s="3" t="n">
        <v>46</v>
      </c>
      <c r="C643" s="3" t="inlineStr">
        <is>
          <t>F</t>
        </is>
      </c>
      <c r="D643" s="3" t="inlineStr">
        <is>
          <t>Germany</t>
        </is>
      </c>
      <c r="E643" s="3" t="inlineStr">
        <is>
          <t>Saarland</t>
        </is>
      </c>
      <c r="F643" s="3" t="inlineStr">
        <is>
          <t>Road Bikes</t>
        </is>
      </c>
      <c r="G643" s="3" t="inlineStr">
        <is>
          <t>Red</t>
        </is>
      </c>
      <c r="H643" s="3" t="inlineStr">
        <is>
          <t>Road-650 Red, 62</t>
        </is>
      </c>
      <c r="I643" s="4" t="n">
        <v>1</v>
      </c>
      <c r="J643" s="24" t="n">
        <v>620</v>
      </c>
      <c r="K643" s="24" t="n">
        <v>980</v>
      </c>
      <c r="L643" s="25">
        <f>I643*K643</f>
        <v/>
      </c>
      <c r="M643" s="25">
        <f>I643*J643</f>
        <v/>
      </c>
      <c r="N643" s="25">
        <f>L643-M643</f>
        <v/>
      </c>
      <c r="O643" s="26">
        <f>IFERROR(N643/L643,0)</f>
        <v/>
      </c>
      <c r="P643">
        <f>YEAR(A643)</f>
        <v/>
      </c>
      <c r="Q643">
        <f>TEXT(A643,"mmm")</f>
        <v/>
      </c>
      <c r="R643">
        <f>IF(B643&lt;25,"18-24",IF(B643&lt;35,"25-34",IF(B643&lt;45,"35-44","45+")))</f>
        <v/>
      </c>
    </row>
    <row r="644">
      <c r="A644" s="23" t="n">
        <v>44486</v>
      </c>
      <c r="B644" s="3" t="n">
        <v>46</v>
      </c>
      <c r="C644" s="3" t="inlineStr">
        <is>
          <t>F</t>
        </is>
      </c>
      <c r="D644" s="3" t="inlineStr">
        <is>
          <t>United States</t>
        </is>
      </c>
      <c r="E644" s="3" t="inlineStr">
        <is>
          <t>California</t>
        </is>
      </c>
      <c r="F644" s="3" t="inlineStr">
        <is>
          <t>Road Bikes</t>
        </is>
      </c>
      <c r="G644" s="3" t="inlineStr">
        <is>
          <t>Yellow</t>
        </is>
      </c>
      <c r="H644" s="3" t="inlineStr">
        <is>
          <t>Road-350-W Yellow, 48</t>
        </is>
      </c>
      <c r="I644" s="4" t="n">
        <v>1</v>
      </c>
      <c r="J644" s="24" t="n">
        <v>530</v>
      </c>
      <c r="K644" s="24" t="n">
        <v>840</v>
      </c>
      <c r="L644" s="25">
        <f>I644*K644</f>
        <v/>
      </c>
      <c r="M644" s="25">
        <f>I644*J644</f>
        <v/>
      </c>
      <c r="N644" s="25">
        <f>L644-M644</f>
        <v/>
      </c>
      <c r="O644" s="26">
        <f>IFERROR(N644/L644,0)</f>
        <v/>
      </c>
      <c r="P644">
        <f>YEAR(A644)</f>
        <v/>
      </c>
      <c r="Q644">
        <f>TEXT(A644,"mmm")</f>
        <v/>
      </c>
      <c r="R644">
        <f>IF(B644&lt;25,"18-24",IF(B644&lt;35,"25-34",IF(B644&lt;45,"35-44","45+")))</f>
        <v/>
      </c>
    </row>
    <row r="645">
      <c r="A645" s="23" t="n">
        <v>44487</v>
      </c>
      <c r="B645" s="3" t="n">
        <v>46</v>
      </c>
      <c r="C645" s="3" t="inlineStr">
        <is>
          <t>F</t>
        </is>
      </c>
      <c r="D645" s="3" t="inlineStr">
        <is>
          <t>United States</t>
        </is>
      </c>
      <c r="E645" s="3" t="inlineStr">
        <is>
          <t>California</t>
        </is>
      </c>
      <c r="F645" s="3" t="inlineStr">
        <is>
          <t>Road Bikes</t>
        </is>
      </c>
      <c r="G645" s="3" t="inlineStr">
        <is>
          <t>Yellow</t>
        </is>
      </c>
      <c r="H645" s="3" t="inlineStr">
        <is>
          <t>Road-350-W Yellow, 48</t>
        </is>
      </c>
      <c r="I645" s="4" t="n">
        <v>1</v>
      </c>
      <c r="J645" s="24" t="n">
        <v>530</v>
      </c>
      <c r="K645" s="24" t="n">
        <v>840</v>
      </c>
      <c r="L645" s="25">
        <f>I645*K645</f>
        <v/>
      </c>
      <c r="M645" s="25">
        <f>I645*J645</f>
        <v/>
      </c>
      <c r="N645" s="25">
        <f>L645-M645</f>
        <v/>
      </c>
      <c r="O645" s="26">
        <f>IFERROR(N645/L645,0)</f>
        <v/>
      </c>
      <c r="P645">
        <f>YEAR(A645)</f>
        <v/>
      </c>
      <c r="Q645">
        <f>TEXT(A645,"mmm")</f>
        <v/>
      </c>
      <c r="R645">
        <f>IF(B645&lt;25,"18-24",IF(B645&lt;35,"25-34",IF(B645&lt;45,"35-44","45+")))</f>
        <v/>
      </c>
    </row>
    <row r="646">
      <c r="A646" s="23" t="n">
        <v>44488</v>
      </c>
      <c r="B646" s="3" t="n">
        <v>46</v>
      </c>
      <c r="C646" s="3" t="inlineStr">
        <is>
          <t>M</t>
        </is>
      </c>
      <c r="D646" s="3" t="inlineStr">
        <is>
          <t>United Kingdom</t>
        </is>
      </c>
      <c r="E646" s="3" t="inlineStr">
        <is>
          <t>England</t>
        </is>
      </c>
      <c r="F646" s="3" t="inlineStr">
        <is>
          <t>Road Bikes</t>
        </is>
      </c>
      <c r="G646" s="3" t="inlineStr">
        <is>
          <t>Black</t>
        </is>
      </c>
      <c r="H646" s="3" t="inlineStr">
        <is>
          <t>Road-750 Black, 58</t>
        </is>
      </c>
      <c r="I646" s="4" t="n">
        <v>4</v>
      </c>
      <c r="J646" s="24" t="n">
        <v>700</v>
      </c>
      <c r="K646" s="24" t="n">
        <v>1100</v>
      </c>
      <c r="L646" s="25">
        <f>I646*K646</f>
        <v/>
      </c>
      <c r="M646" s="25">
        <f>I646*J646</f>
        <v/>
      </c>
      <c r="N646" s="25">
        <f>L646-M646</f>
        <v/>
      </c>
      <c r="O646" s="26">
        <f>IFERROR(N646/L646,0)</f>
        <v/>
      </c>
      <c r="P646">
        <f>YEAR(A646)</f>
        <v/>
      </c>
      <c r="Q646">
        <f>TEXT(A646,"mmm")</f>
        <v/>
      </c>
      <c r="R646">
        <f>IF(B646&lt;25,"18-24",IF(B646&lt;35,"25-34",IF(B646&lt;45,"35-44","45+")))</f>
        <v/>
      </c>
    </row>
    <row r="647">
      <c r="A647" s="23" t="n">
        <v>44495</v>
      </c>
      <c r="B647" s="3" t="n">
        <v>46</v>
      </c>
      <c r="C647" s="3" t="inlineStr">
        <is>
          <t>F</t>
        </is>
      </c>
      <c r="D647" s="3" t="inlineStr">
        <is>
          <t>Australia</t>
        </is>
      </c>
      <c r="E647" s="3" t="inlineStr">
        <is>
          <t>Victoria</t>
        </is>
      </c>
      <c r="F647" s="3" t="inlineStr">
        <is>
          <t>Road Bikes</t>
        </is>
      </c>
      <c r="G647" s="3" t="inlineStr">
        <is>
          <t>Black</t>
        </is>
      </c>
      <c r="H647" s="3" t="inlineStr">
        <is>
          <t>Road-750 Black, 48</t>
        </is>
      </c>
      <c r="I647" s="4" t="n">
        <v>1</v>
      </c>
      <c r="J647" s="24" t="n">
        <v>700</v>
      </c>
      <c r="K647" s="24" t="n">
        <v>1100</v>
      </c>
      <c r="L647" s="25">
        <f>I647*K647</f>
        <v/>
      </c>
      <c r="M647" s="25">
        <f>I647*J647</f>
        <v/>
      </c>
      <c r="N647" s="25">
        <f>L647-M647</f>
        <v/>
      </c>
      <c r="O647" s="26">
        <f>IFERROR(N647/L647,0)</f>
        <v/>
      </c>
      <c r="P647">
        <f>YEAR(A647)</f>
        <v/>
      </c>
      <c r="Q647">
        <f>TEXT(A647,"mmm")</f>
        <v/>
      </c>
      <c r="R647">
        <f>IF(B647&lt;25,"18-24",IF(B647&lt;35,"25-34",IF(B647&lt;45,"35-44","45+")))</f>
        <v/>
      </c>
    </row>
    <row r="648">
      <c r="A648" s="23" t="n">
        <v>44508</v>
      </c>
      <c r="B648" s="3" t="n">
        <v>46</v>
      </c>
      <c r="C648" s="3" t="inlineStr">
        <is>
          <t>M</t>
        </is>
      </c>
      <c r="D648" s="3" t="inlineStr">
        <is>
          <t>United States</t>
        </is>
      </c>
      <c r="E648" s="3" t="inlineStr">
        <is>
          <t>Washington</t>
        </is>
      </c>
      <c r="F648" s="3" t="inlineStr">
        <is>
          <t>Mountain Bikes</t>
        </is>
      </c>
      <c r="G648" s="3" t="inlineStr">
        <is>
          <t>Black</t>
        </is>
      </c>
      <c r="H648" s="3" t="inlineStr">
        <is>
          <t>Mountain-200 Black, 42</t>
        </is>
      </c>
      <c r="I648" s="4" t="n">
        <v>1</v>
      </c>
      <c r="J648" s="24" t="n">
        <v>550</v>
      </c>
      <c r="K648" s="24" t="n">
        <v>850</v>
      </c>
      <c r="L648" s="25">
        <f>I648*K648</f>
        <v/>
      </c>
      <c r="M648" s="25">
        <f>I648*J648</f>
        <v/>
      </c>
      <c r="N648" s="25">
        <f>L648-M648</f>
        <v/>
      </c>
      <c r="O648" s="26">
        <f>IFERROR(N648/L648,0)</f>
        <v/>
      </c>
      <c r="P648">
        <f>YEAR(A648)</f>
        <v/>
      </c>
      <c r="Q648">
        <f>TEXT(A648,"mmm")</f>
        <v/>
      </c>
      <c r="R648">
        <f>IF(B648&lt;25,"18-24",IF(B648&lt;35,"25-34",IF(B648&lt;45,"35-44","45+")))</f>
        <v/>
      </c>
    </row>
    <row r="649">
      <c r="A649" s="23" t="n">
        <v>44524</v>
      </c>
      <c r="B649" s="3" t="n">
        <v>46</v>
      </c>
      <c r="C649" s="3" t="inlineStr">
        <is>
          <t>F</t>
        </is>
      </c>
      <c r="D649" s="3" t="inlineStr">
        <is>
          <t>United Kingdom</t>
        </is>
      </c>
      <c r="E649" s="3" t="inlineStr">
        <is>
          <t>England</t>
        </is>
      </c>
      <c r="F649" s="3" t="inlineStr">
        <is>
          <t>Road Bikes</t>
        </is>
      </c>
      <c r="G649" s="3" t="inlineStr">
        <is>
          <t>Black</t>
        </is>
      </c>
      <c r="H649" s="3" t="inlineStr">
        <is>
          <t>Road-250 Black, 58</t>
        </is>
      </c>
      <c r="I649" s="4" t="n">
        <v>1</v>
      </c>
      <c r="J649" s="24" t="n">
        <v>580</v>
      </c>
      <c r="K649" s="24" t="n">
        <v>920</v>
      </c>
      <c r="L649" s="25">
        <f>I649*K649</f>
        <v/>
      </c>
      <c r="M649" s="25">
        <f>I649*J649</f>
        <v/>
      </c>
      <c r="N649" s="25">
        <f>L649-M649</f>
        <v/>
      </c>
      <c r="O649" s="26">
        <f>IFERROR(N649/L649,0)</f>
        <v/>
      </c>
      <c r="P649">
        <f>YEAR(A649)</f>
        <v/>
      </c>
      <c r="Q649">
        <f>TEXT(A649,"mmm")</f>
        <v/>
      </c>
      <c r="R649">
        <f>IF(B649&lt;25,"18-24",IF(B649&lt;35,"25-34",IF(B649&lt;45,"35-44","45+")))</f>
        <v/>
      </c>
    </row>
    <row r="650">
      <c r="A650" s="23" t="n">
        <v>44525</v>
      </c>
      <c r="B650" s="3" t="n">
        <v>46</v>
      </c>
      <c r="C650" s="3" t="inlineStr">
        <is>
          <t>F</t>
        </is>
      </c>
      <c r="D650" s="3" t="inlineStr">
        <is>
          <t>United States</t>
        </is>
      </c>
      <c r="E650" s="3" t="inlineStr">
        <is>
          <t>Washington</t>
        </is>
      </c>
      <c r="F650" s="3" t="inlineStr">
        <is>
          <t>Mountain Bikes</t>
        </is>
      </c>
      <c r="G650" s="3" t="inlineStr">
        <is>
          <t>Silver</t>
        </is>
      </c>
      <c r="H650" s="3" t="inlineStr">
        <is>
          <t>Mountain-200 Silver, 46</t>
        </is>
      </c>
      <c r="I650" s="4" t="n">
        <v>1</v>
      </c>
      <c r="J650" s="24" t="n">
        <v>550</v>
      </c>
      <c r="K650" s="24" t="n">
        <v>850</v>
      </c>
      <c r="L650" s="25">
        <f>I650*K650</f>
        <v/>
      </c>
      <c r="M650" s="25">
        <f>I650*J650</f>
        <v/>
      </c>
      <c r="N650" s="25">
        <f>L650-M650</f>
        <v/>
      </c>
      <c r="O650" s="26">
        <f>IFERROR(N650/L650,0)</f>
        <v/>
      </c>
      <c r="P650">
        <f>YEAR(A650)</f>
        <v/>
      </c>
      <c r="Q650">
        <f>TEXT(A650,"mmm")</f>
        <v/>
      </c>
      <c r="R650">
        <f>IF(B650&lt;25,"18-24",IF(B650&lt;35,"25-34",IF(B650&lt;45,"35-44","45+")))</f>
        <v/>
      </c>
    </row>
    <row r="651">
      <c r="A651" s="23" t="n">
        <v>44530</v>
      </c>
      <c r="B651" s="3" t="n">
        <v>46</v>
      </c>
      <c r="C651" s="3" t="inlineStr">
        <is>
          <t>M</t>
        </is>
      </c>
      <c r="D651" s="3" t="inlineStr">
        <is>
          <t>United Kingdom</t>
        </is>
      </c>
      <c r="E651" s="3" t="inlineStr">
        <is>
          <t>England</t>
        </is>
      </c>
      <c r="F651" s="3" t="inlineStr">
        <is>
          <t>Mountain Bikes</t>
        </is>
      </c>
      <c r="G651" s="3" t="inlineStr">
        <is>
          <t>Silver</t>
        </is>
      </c>
      <c r="H651" s="3" t="inlineStr">
        <is>
          <t>Mountain-200 Silver, 46</t>
        </is>
      </c>
      <c r="I651" s="4" t="n">
        <v>1</v>
      </c>
      <c r="J651" s="24" t="n">
        <v>550</v>
      </c>
      <c r="K651" s="24" t="n">
        <v>850</v>
      </c>
      <c r="L651" s="25">
        <f>I651*K651</f>
        <v/>
      </c>
      <c r="M651" s="25">
        <f>I651*J651</f>
        <v/>
      </c>
      <c r="N651" s="25">
        <f>L651-M651</f>
        <v/>
      </c>
      <c r="O651" s="26">
        <f>IFERROR(N651/L651,0)</f>
        <v/>
      </c>
      <c r="P651">
        <f>YEAR(A651)</f>
        <v/>
      </c>
      <c r="Q651">
        <f>TEXT(A651,"mmm")</f>
        <v/>
      </c>
      <c r="R651">
        <f>IF(B651&lt;25,"18-24",IF(B651&lt;35,"25-34",IF(B651&lt;45,"35-44","45+")))</f>
        <v/>
      </c>
    </row>
    <row r="652">
      <c r="A652" s="23" t="n">
        <v>44542</v>
      </c>
      <c r="B652" s="3" t="n">
        <v>46</v>
      </c>
      <c r="C652" s="3" t="inlineStr">
        <is>
          <t>F</t>
        </is>
      </c>
      <c r="D652" s="3" t="inlineStr">
        <is>
          <t>Australia</t>
        </is>
      </c>
      <c r="E652" s="3" t="inlineStr">
        <is>
          <t>New South Wales</t>
        </is>
      </c>
      <c r="F652" s="3" t="inlineStr">
        <is>
          <t>Road Bikes</t>
        </is>
      </c>
      <c r="G652" s="3" t="inlineStr">
        <is>
          <t>Black</t>
        </is>
      </c>
      <c r="H652" s="3" t="inlineStr">
        <is>
          <t>Road-750 Black, 48</t>
        </is>
      </c>
      <c r="I652" s="4" t="n">
        <v>1</v>
      </c>
      <c r="J652" s="24" t="n">
        <v>700</v>
      </c>
      <c r="K652" s="24" t="n">
        <v>1100</v>
      </c>
      <c r="L652" s="25">
        <f>I652*K652</f>
        <v/>
      </c>
      <c r="M652" s="25">
        <f>I652*J652</f>
        <v/>
      </c>
      <c r="N652" s="25">
        <f>L652-M652</f>
        <v/>
      </c>
      <c r="O652" s="26">
        <f>IFERROR(N652/L652,0)</f>
        <v/>
      </c>
      <c r="P652">
        <f>YEAR(A652)</f>
        <v/>
      </c>
      <c r="Q652">
        <f>TEXT(A652,"mmm")</f>
        <v/>
      </c>
      <c r="R652">
        <f>IF(B652&lt;25,"18-24",IF(B652&lt;35,"25-34",IF(B652&lt;45,"35-44","45+")))</f>
        <v/>
      </c>
    </row>
    <row r="653">
      <c r="A653" s="23" t="n">
        <v>44544</v>
      </c>
      <c r="B653" s="3" t="n">
        <v>46</v>
      </c>
      <c r="C653" s="3" t="inlineStr">
        <is>
          <t>F</t>
        </is>
      </c>
      <c r="D653" s="3" t="inlineStr">
        <is>
          <t>Australia</t>
        </is>
      </c>
      <c r="E653" s="3" t="inlineStr">
        <is>
          <t>Victoria</t>
        </is>
      </c>
      <c r="F653" s="3" t="inlineStr">
        <is>
          <t>Road Bikes</t>
        </is>
      </c>
      <c r="G653" s="3" t="inlineStr">
        <is>
          <t>Black</t>
        </is>
      </c>
      <c r="H653" s="3" t="inlineStr">
        <is>
          <t>Road-750 Black, 48</t>
        </is>
      </c>
      <c r="I653" s="4" t="n">
        <v>4</v>
      </c>
      <c r="J653" s="24" t="n">
        <v>700</v>
      </c>
      <c r="K653" s="24" t="n">
        <v>1100</v>
      </c>
      <c r="L653" s="25">
        <f>I653*K653</f>
        <v/>
      </c>
      <c r="M653" s="25">
        <f>I653*J653</f>
        <v/>
      </c>
      <c r="N653" s="25">
        <f>L653-M653</f>
        <v/>
      </c>
      <c r="O653" s="26">
        <f>IFERROR(N653/L653,0)</f>
        <v/>
      </c>
      <c r="P653">
        <f>YEAR(A653)</f>
        <v/>
      </c>
      <c r="Q653">
        <f>TEXT(A653,"mmm")</f>
        <v/>
      </c>
      <c r="R653">
        <f>IF(B653&lt;25,"18-24",IF(B653&lt;35,"25-34",IF(B653&lt;45,"35-44","45+")))</f>
        <v/>
      </c>
    </row>
    <row r="654">
      <c r="A654" s="23" t="n">
        <v>44558</v>
      </c>
      <c r="B654" s="3" t="n">
        <v>46</v>
      </c>
      <c r="C654" s="3" t="inlineStr">
        <is>
          <t>M</t>
        </is>
      </c>
      <c r="D654" s="3" t="inlineStr">
        <is>
          <t>Germany</t>
        </is>
      </c>
      <c r="E654" s="3" t="inlineStr">
        <is>
          <t>Saarland</t>
        </is>
      </c>
      <c r="F654" s="3" t="inlineStr">
        <is>
          <t>Road Bikes</t>
        </is>
      </c>
      <c r="G654" s="3" t="inlineStr">
        <is>
          <t>Red</t>
        </is>
      </c>
      <c r="H654" s="3" t="inlineStr">
        <is>
          <t>Road-650 Red, 58</t>
        </is>
      </c>
      <c r="I654" s="4" t="n">
        <v>1</v>
      </c>
      <c r="J654" s="24" t="n">
        <v>620</v>
      </c>
      <c r="K654" s="24" t="n">
        <v>980</v>
      </c>
      <c r="L654" s="25">
        <f>I654*K654</f>
        <v/>
      </c>
      <c r="M654" s="25">
        <f>I654*J654</f>
        <v/>
      </c>
      <c r="N654" s="25">
        <f>L654-M654</f>
        <v/>
      </c>
      <c r="O654" s="26">
        <f>IFERROR(N654/L654,0)</f>
        <v/>
      </c>
      <c r="P654">
        <f>YEAR(A654)</f>
        <v/>
      </c>
      <c r="Q654">
        <f>TEXT(A654,"mmm")</f>
        <v/>
      </c>
      <c r="R654">
        <f>IF(B654&lt;25,"18-24",IF(B654&lt;35,"25-34",IF(B654&lt;45,"35-44","45+")))</f>
        <v/>
      </c>
    </row>
    <row r="655">
      <c r="A655" s="23" t="n">
        <v>44560</v>
      </c>
      <c r="B655" s="3" t="n">
        <v>46</v>
      </c>
      <c r="C655" s="3" t="inlineStr">
        <is>
          <t>F</t>
        </is>
      </c>
      <c r="D655" s="3" t="inlineStr">
        <is>
          <t>Australia</t>
        </is>
      </c>
      <c r="E655" s="3" t="inlineStr">
        <is>
          <t>New South Wales</t>
        </is>
      </c>
      <c r="F655" s="3" t="inlineStr">
        <is>
          <t>Road Bikes</t>
        </is>
      </c>
      <c r="G655" s="3" t="inlineStr">
        <is>
          <t>Black</t>
        </is>
      </c>
      <c r="H655" s="3" t="inlineStr">
        <is>
          <t>Road-750 Black, 48</t>
        </is>
      </c>
      <c r="I655" s="4" t="n">
        <v>1</v>
      </c>
      <c r="J655" s="24" t="n">
        <v>700</v>
      </c>
      <c r="K655" s="24" t="n">
        <v>1100</v>
      </c>
      <c r="L655" s="25">
        <f>I655*K655</f>
        <v/>
      </c>
      <c r="M655" s="25">
        <f>I655*J655</f>
        <v/>
      </c>
      <c r="N655" s="25">
        <f>L655-M655</f>
        <v/>
      </c>
      <c r="O655" s="26">
        <f>IFERROR(N655/L655,0)</f>
        <v/>
      </c>
      <c r="P655">
        <f>YEAR(A655)</f>
        <v/>
      </c>
      <c r="Q655">
        <f>TEXT(A655,"mmm")</f>
        <v/>
      </c>
      <c r="R655">
        <f>IF(B655&lt;25,"18-24",IF(B655&lt;35,"25-34",IF(B655&lt;45,"35-44","45+")))</f>
        <v/>
      </c>
    </row>
    <row r="656">
      <c r="A656" s="23" t="n">
        <v>44471</v>
      </c>
      <c r="B656" s="3" t="n">
        <v>47</v>
      </c>
      <c r="C656" s="3" t="inlineStr">
        <is>
          <t>F</t>
        </is>
      </c>
      <c r="D656" s="3" t="inlineStr">
        <is>
          <t>United States</t>
        </is>
      </c>
      <c r="E656" s="3" t="inlineStr">
        <is>
          <t>California</t>
        </is>
      </c>
      <c r="F656" s="3" t="inlineStr">
        <is>
          <t>Road Bikes</t>
        </is>
      </c>
      <c r="G656" s="3" t="inlineStr">
        <is>
          <t>Yellow</t>
        </is>
      </c>
      <c r="H656" s="3" t="inlineStr">
        <is>
          <t>Road-350-W Yellow, 42</t>
        </is>
      </c>
      <c r="I656" s="4" t="n">
        <v>2</v>
      </c>
      <c r="J656" s="24" t="n">
        <v>530</v>
      </c>
      <c r="K656" s="24" t="n">
        <v>840</v>
      </c>
      <c r="L656" s="25">
        <f>I656*K656</f>
        <v/>
      </c>
      <c r="M656" s="25">
        <f>I656*J656</f>
        <v/>
      </c>
      <c r="N656" s="25">
        <f>L656-M656</f>
        <v/>
      </c>
      <c r="O656" s="26">
        <f>IFERROR(N656/L656,0)</f>
        <v/>
      </c>
      <c r="P656">
        <f>YEAR(A656)</f>
        <v/>
      </c>
      <c r="Q656">
        <f>TEXT(A656,"mmm")</f>
        <v/>
      </c>
      <c r="R656">
        <f>IF(B656&lt;25,"18-24",IF(B656&lt;35,"25-34",IF(B656&lt;45,"35-44","45+")))</f>
        <v/>
      </c>
    </row>
    <row r="657">
      <c r="A657" s="23" t="n">
        <v>44474</v>
      </c>
      <c r="B657" s="3" t="n">
        <v>47</v>
      </c>
      <c r="C657" s="3" t="inlineStr">
        <is>
          <t>F</t>
        </is>
      </c>
      <c r="D657" s="3" t="inlineStr">
        <is>
          <t>Australia</t>
        </is>
      </c>
      <c r="E657" s="3" t="inlineStr">
        <is>
          <t>Victoria</t>
        </is>
      </c>
      <c r="F657" s="3" t="inlineStr">
        <is>
          <t>Road Bikes</t>
        </is>
      </c>
      <c r="G657" s="3" t="inlineStr">
        <is>
          <t>Red</t>
        </is>
      </c>
      <c r="H657" s="3" t="inlineStr">
        <is>
          <t>Road-150 Red, 62</t>
        </is>
      </c>
      <c r="I657" s="4" t="n">
        <v>1</v>
      </c>
      <c r="J657" s="24" t="n">
        <v>900</v>
      </c>
      <c r="K657" s="24" t="n">
        <v>1400</v>
      </c>
      <c r="L657" s="25">
        <f>I657*K657</f>
        <v/>
      </c>
      <c r="M657" s="25">
        <f>I657*J657</f>
        <v/>
      </c>
      <c r="N657" s="25">
        <f>L657-M657</f>
        <v/>
      </c>
      <c r="O657" s="26">
        <f>IFERROR(N657/L657,0)</f>
        <v/>
      </c>
      <c r="P657">
        <f>YEAR(A657)</f>
        <v/>
      </c>
      <c r="Q657">
        <f>TEXT(A657,"mmm")</f>
        <v/>
      </c>
      <c r="R657">
        <f>IF(B657&lt;25,"18-24",IF(B657&lt;35,"25-34",IF(B657&lt;45,"35-44","45+")))</f>
        <v/>
      </c>
    </row>
    <row r="658">
      <c r="A658" s="23" t="n">
        <v>44479</v>
      </c>
      <c r="B658" s="3" t="n">
        <v>47</v>
      </c>
      <c r="C658" s="3" t="inlineStr">
        <is>
          <t>F</t>
        </is>
      </c>
      <c r="D658" s="3" t="inlineStr">
        <is>
          <t>Australia</t>
        </is>
      </c>
      <c r="E658" s="3" t="inlineStr">
        <is>
          <t>New South Wales</t>
        </is>
      </c>
      <c r="F658" s="3" t="inlineStr">
        <is>
          <t>Mountain Bikes</t>
        </is>
      </c>
      <c r="G658" s="3" t="inlineStr">
        <is>
          <t>Silver</t>
        </is>
      </c>
      <c r="H658" s="3" t="inlineStr">
        <is>
          <t>Mountain-500 Silver, 42</t>
        </is>
      </c>
      <c r="I658" s="4" t="n">
        <v>1</v>
      </c>
      <c r="J658" s="24" t="n">
        <v>480</v>
      </c>
      <c r="K658" s="24" t="n">
        <v>760</v>
      </c>
      <c r="L658" s="25">
        <f>I658*K658</f>
        <v/>
      </c>
      <c r="M658" s="25">
        <f>I658*J658</f>
        <v/>
      </c>
      <c r="N658" s="25">
        <f>L658-M658</f>
        <v/>
      </c>
      <c r="O658" s="26">
        <f>IFERROR(N658/L658,0)</f>
        <v/>
      </c>
      <c r="P658">
        <f>YEAR(A658)</f>
        <v/>
      </c>
      <c r="Q658">
        <f>TEXT(A658,"mmm")</f>
        <v/>
      </c>
      <c r="R658">
        <f>IF(B658&lt;25,"18-24",IF(B658&lt;35,"25-34",IF(B658&lt;45,"35-44","45+")))</f>
        <v/>
      </c>
    </row>
    <row r="659">
      <c r="A659" s="23" t="n">
        <v>44482</v>
      </c>
      <c r="B659" s="3" t="n">
        <v>47</v>
      </c>
      <c r="C659" s="3" t="inlineStr">
        <is>
          <t>M</t>
        </is>
      </c>
      <c r="D659" s="3" t="inlineStr">
        <is>
          <t>Australia</t>
        </is>
      </c>
      <c r="E659" s="3" t="inlineStr">
        <is>
          <t>New South Wales</t>
        </is>
      </c>
      <c r="F659" s="3" t="inlineStr">
        <is>
          <t>Mountain Bikes</t>
        </is>
      </c>
      <c r="G659" s="3" t="inlineStr">
        <is>
          <t>Silver</t>
        </is>
      </c>
      <c r="H659" s="3" t="inlineStr">
        <is>
          <t>Mountain-500 Silver, 52</t>
        </is>
      </c>
      <c r="I659" s="4" t="n">
        <v>1</v>
      </c>
      <c r="J659" s="24" t="n">
        <v>480</v>
      </c>
      <c r="K659" s="24" t="n">
        <v>760</v>
      </c>
      <c r="L659" s="25">
        <f>I659*K659</f>
        <v/>
      </c>
      <c r="M659" s="25">
        <f>I659*J659</f>
        <v/>
      </c>
      <c r="N659" s="25">
        <f>L659-M659</f>
        <v/>
      </c>
      <c r="O659" s="26">
        <f>IFERROR(N659/L659,0)</f>
        <v/>
      </c>
      <c r="P659">
        <f>YEAR(A659)</f>
        <v/>
      </c>
      <c r="Q659">
        <f>TEXT(A659,"mmm")</f>
        <v/>
      </c>
      <c r="R659">
        <f>IF(B659&lt;25,"18-24",IF(B659&lt;35,"25-34",IF(B659&lt;45,"35-44","45+")))</f>
        <v/>
      </c>
    </row>
    <row r="660">
      <c r="A660" s="23" t="n">
        <v>44485</v>
      </c>
      <c r="B660" s="3" t="n">
        <v>47</v>
      </c>
      <c r="C660" s="3" t="inlineStr">
        <is>
          <t>M</t>
        </is>
      </c>
      <c r="D660" s="3" t="inlineStr">
        <is>
          <t>United States</t>
        </is>
      </c>
      <c r="E660" s="3" t="inlineStr">
        <is>
          <t>California</t>
        </is>
      </c>
      <c r="F660" s="3" t="inlineStr">
        <is>
          <t>Road Bikes</t>
        </is>
      </c>
      <c r="G660" s="3" t="inlineStr">
        <is>
          <t>Red</t>
        </is>
      </c>
      <c r="H660" s="3" t="inlineStr">
        <is>
          <t>Road-650 Red, 60</t>
        </is>
      </c>
      <c r="I660" s="4" t="n">
        <v>4</v>
      </c>
      <c r="J660" s="24" t="n">
        <v>500</v>
      </c>
      <c r="K660" s="24" t="n">
        <v>950</v>
      </c>
      <c r="L660" s="25">
        <f>I660*K660</f>
        <v/>
      </c>
      <c r="M660" s="25">
        <f>I660*J660</f>
        <v/>
      </c>
      <c r="N660" s="25">
        <f>L660-M660</f>
        <v/>
      </c>
      <c r="O660" s="26">
        <f>IFERROR(N660/L660,0)</f>
        <v/>
      </c>
      <c r="P660">
        <f>YEAR(A660)</f>
        <v/>
      </c>
      <c r="Q660">
        <f>TEXT(A660,"mmm")</f>
        <v/>
      </c>
      <c r="R660">
        <f>IF(B660&lt;25,"18-24",IF(B660&lt;35,"25-34",IF(B660&lt;45,"35-44","45+")))</f>
        <v/>
      </c>
    </row>
    <row r="661">
      <c r="A661" s="23" t="n">
        <v>44485</v>
      </c>
      <c r="B661" s="3" t="n">
        <v>47</v>
      </c>
      <c r="C661" s="3" t="inlineStr">
        <is>
          <t>F</t>
        </is>
      </c>
      <c r="D661" s="3" t="inlineStr">
        <is>
          <t>United States</t>
        </is>
      </c>
      <c r="E661" s="3" t="inlineStr">
        <is>
          <t>Texas</t>
        </is>
      </c>
      <c r="F661" s="3" t="inlineStr">
        <is>
          <t>Road Bikes</t>
        </is>
      </c>
      <c r="G661" s="3" t="inlineStr">
        <is>
          <t>Red</t>
        </is>
      </c>
      <c r="H661" s="3" t="inlineStr">
        <is>
          <t>Road-650 Red, 62</t>
        </is>
      </c>
      <c r="I661" s="4" t="n">
        <v>2</v>
      </c>
      <c r="J661" s="24" t="n">
        <v>620</v>
      </c>
      <c r="K661" s="24" t="n">
        <v>980</v>
      </c>
      <c r="L661" s="25">
        <f>I661*K661</f>
        <v/>
      </c>
      <c r="M661" s="25">
        <f>I661*J661</f>
        <v/>
      </c>
      <c r="N661" s="25">
        <f>L661-M661</f>
        <v/>
      </c>
      <c r="O661" s="26">
        <f>IFERROR(N661/L661,0)</f>
        <v/>
      </c>
      <c r="P661">
        <f>YEAR(A661)</f>
        <v/>
      </c>
      <c r="Q661">
        <f>TEXT(A661,"mmm")</f>
        <v/>
      </c>
      <c r="R661">
        <f>IF(B661&lt;25,"18-24",IF(B661&lt;35,"25-34",IF(B661&lt;45,"35-44","45+")))</f>
        <v/>
      </c>
    </row>
    <row r="662">
      <c r="A662" s="23" t="n">
        <v>44492</v>
      </c>
      <c r="B662" s="3" t="n">
        <v>47</v>
      </c>
      <c r="C662" s="3" t="inlineStr">
        <is>
          <t>F</t>
        </is>
      </c>
      <c r="D662" s="3" t="inlineStr">
        <is>
          <t>Australia</t>
        </is>
      </c>
      <c r="E662" s="3" t="inlineStr">
        <is>
          <t>Queensland</t>
        </is>
      </c>
      <c r="F662" s="3" t="inlineStr">
        <is>
          <t>Mountain Bikes</t>
        </is>
      </c>
      <c r="G662" s="3" t="inlineStr">
        <is>
          <t>Black</t>
        </is>
      </c>
      <c r="H662" s="3" t="inlineStr">
        <is>
          <t>Mountain-200 Black, 46</t>
        </is>
      </c>
      <c r="I662" s="4" t="n">
        <v>1</v>
      </c>
      <c r="J662" s="24" t="n">
        <v>550</v>
      </c>
      <c r="K662" s="24" t="n">
        <v>850</v>
      </c>
      <c r="L662" s="25">
        <f>I662*K662</f>
        <v/>
      </c>
      <c r="M662" s="25">
        <f>I662*J662</f>
        <v/>
      </c>
      <c r="N662" s="25">
        <f>L662-M662</f>
        <v/>
      </c>
      <c r="O662" s="26">
        <f>IFERROR(N662/L662,0)</f>
        <v/>
      </c>
      <c r="P662">
        <f>YEAR(A662)</f>
        <v/>
      </c>
      <c r="Q662">
        <f>TEXT(A662,"mmm")</f>
        <v/>
      </c>
      <c r="R662">
        <f>IF(B662&lt;25,"18-24",IF(B662&lt;35,"25-34",IF(B662&lt;45,"35-44","45+")))</f>
        <v/>
      </c>
    </row>
    <row r="663">
      <c r="A663" s="23" t="n">
        <v>44495</v>
      </c>
      <c r="B663" s="3" t="n">
        <v>47</v>
      </c>
      <c r="C663" s="3" t="inlineStr">
        <is>
          <t>F</t>
        </is>
      </c>
      <c r="D663" s="3" t="inlineStr">
        <is>
          <t>France</t>
        </is>
      </c>
      <c r="E663" s="3" t="inlineStr">
        <is>
          <t>Nord</t>
        </is>
      </c>
      <c r="F663" s="3" t="inlineStr">
        <is>
          <t>Road Bikes</t>
        </is>
      </c>
      <c r="G663" s="3" t="inlineStr">
        <is>
          <t>Red</t>
        </is>
      </c>
      <c r="H663" s="3" t="inlineStr">
        <is>
          <t>Road-250 Red, 52</t>
        </is>
      </c>
      <c r="I663" s="4" t="n">
        <v>1</v>
      </c>
      <c r="J663" s="24" t="n">
        <v>580</v>
      </c>
      <c r="K663" s="24" t="n">
        <v>920</v>
      </c>
      <c r="L663" s="25">
        <f>I663*K663</f>
        <v/>
      </c>
      <c r="M663" s="25">
        <f>I663*J663</f>
        <v/>
      </c>
      <c r="N663" s="25">
        <f>L663-M663</f>
        <v/>
      </c>
      <c r="O663" s="26">
        <f>IFERROR(N663/L663,0)</f>
        <v/>
      </c>
      <c r="P663">
        <f>YEAR(A663)</f>
        <v/>
      </c>
      <c r="Q663">
        <f>TEXT(A663,"mmm")</f>
        <v/>
      </c>
      <c r="R663">
        <f>IF(B663&lt;25,"18-24",IF(B663&lt;35,"25-34",IF(B663&lt;45,"35-44","45+")))</f>
        <v/>
      </c>
    </row>
    <row r="664">
      <c r="A664" s="23" t="n">
        <v>44496</v>
      </c>
      <c r="B664" s="3" t="n">
        <v>47</v>
      </c>
      <c r="C664" s="3" t="inlineStr">
        <is>
          <t>M</t>
        </is>
      </c>
      <c r="D664" s="3" t="inlineStr">
        <is>
          <t>Canada</t>
        </is>
      </c>
      <c r="E664" s="3" t="inlineStr">
        <is>
          <t>British Columbia</t>
        </is>
      </c>
      <c r="F664" s="3" t="inlineStr">
        <is>
          <t>Road Bikes</t>
        </is>
      </c>
      <c r="G664" s="3" t="inlineStr">
        <is>
          <t>Black</t>
        </is>
      </c>
      <c r="H664" s="3" t="inlineStr">
        <is>
          <t>Road-750 Black, 58</t>
        </is>
      </c>
      <c r="I664" s="4" t="n">
        <v>3</v>
      </c>
      <c r="J664" s="24" t="n">
        <v>700</v>
      </c>
      <c r="K664" s="24" t="n">
        <v>1100</v>
      </c>
      <c r="L664" s="25">
        <f>I664*K664</f>
        <v/>
      </c>
      <c r="M664" s="25">
        <f>I664*J664</f>
        <v/>
      </c>
      <c r="N664" s="25">
        <f>L664-M664</f>
        <v/>
      </c>
      <c r="O664" s="26">
        <f>IFERROR(N664/L664,0)</f>
        <v/>
      </c>
      <c r="P664">
        <f>YEAR(A664)</f>
        <v/>
      </c>
      <c r="Q664">
        <f>TEXT(A664,"mmm")</f>
        <v/>
      </c>
      <c r="R664">
        <f>IF(B664&lt;25,"18-24",IF(B664&lt;35,"25-34",IF(B664&lt;45,"35-44","45+")))</f>
        <v/>
      </c>
    </row>
    <row r="665">
      <c r="A665" s="23" t="n">
        <v>44503</v>
      </c>
      <c r="B665" s="3" t="n">
        <v>47</v>
      </c>
      <c r="C665" s="3" t="inlineStr">
        <is>
          <t>F</t>
        </is>
      </c>
      <c r="D665" s="3" t="inlineStr">
        <is>
          <t>United States</t>
        </is>
      </c>
      <c r="E665" s="3" t="inlineStr">
        <is>
          <t>Washington</t>
        </is>
      </c>
      <c r="F665" s="3" t="inlineStr">
        <is>
          <t>Mountain Bikes</t>
        </is>
      </c>
      <c r="G665" s="3" t="inlineStr">
        <is>
          <t>Silver</t>
        </is>
      </c>
      <c r="H665" s="3" t="inlineStr">
        <is>
          <t>Mountain-500 Silver, 40</t>
        </is>
      </c>
      <c r="I665" s="4" t="n">
        <v>1</v>
      </c>
      <c r="J665" s="24" t="n">
        <v>480</v>
      </c>
      <c r="K665" s="24" t="n">
        <v>760</v>
      </c>
      <c r="L665" s="25">
        <f>I665*K665</f>
        <v/>
      </c>
      <c r="M665" s="25">
        <f>I665*J665</f>
        <v/>
      </c>
      <c r="N665" s="25">
        <f>L665-M665</f>
        <v/>
      </c>
      <c r="O665" s="26">
        <f>IFERROR(N665/L665,0)</f>
        <v/>
      </c>
      <c r="P665">
        <f>YEAR(A665)</f>
        <v/>
      </c>
      <c r="Q665">
        <f>TEXT(A665,"mmm")</f>
        <v/>
      </c>
      <c r="R665">
        <f>IF(B665&lt;25,"18-24",IF(B665&lt;35,"25-34",IF(B665&lt;45,"35-44","45+")))</f>
        <v/>
      </c>
    </row>
    <row r="666">
      <c r="A666" s="23" t="n">
        <v>44533</v>
      </c>
      <c r="B666" s="3" t="n">
        <v>47</v>
      </c>
      <c r="C666" s="3" t="inlineStr">
        <is>
          <t>M</t>
        </is>
      </c>
      <c r="D666" s="3" t="inlineStr">
        <is>
          <t>Australia</t>
        </is>
      </c>
      <c r="E666" s="3" t="inlineStr">
        <is>
          <t>New South Wales</t>
        </is>
      </c>
      <c r="F666" s="3" t="inlineStr">
        <is>
          <t>Road Bikes</t>
        </is>
      </c>
      <c r="G666" s="3" t="inlineStr">
        <is>
          <t>Black</t>
        </is>
      </c>
      <c r="H666" s="3" t="inlineStr">
        <is>
          <t>Road-750 Black, 58</t>
        </is>
      </c>
      <c r="I666" s="4" t="n">
        <v>4</v>
      </c>
      <c r="J666" s="24" t="n">
        <v>700</v>
      </c>
      <c r="K666" s="24" t="n">
        <v>1100</v>
      </c>
      <c r="L666" s="25">
        <f>I666*K666</f>
        <v/>
      </c>
      <c r="M666" s="25">
        <f>I666*J666</f>
        <v/>
      </c>
      <c r="N666" s="25">
        <f>L666-M666</f>
        <v/>
      </c>
      <c r="O666" s="26">
        <f>IFERROR(N666/L666,0)</f>
        <v/>
      </c>
      <c r="P666">
        <f>YEAR(A666)</f>
        <v/>
      </c>
      <c r="Q666">
        <f>TEXT(A666,"mmm")</f>
        <v/>
      </c>
      <c r="R666">
        <f>IF(B666&lt;25,"18-24",IF(B666&lt;35,"25-34",IF(B666&lt;45,"35-44","45+")))</f>
        <v/>
      </c>
    </row>
    <row r="667">
      <c r="A667" s="23" t="n">
        <v>44536</v>
      </c>
      <c r="B667" s="3" t="n">
        <v>47</v>
      </c>
      <c r="C667" s="3" t="inlineStr">
        <is>
          <t>M</t>
        </is>
      </c>
      <c r="D667" s="3" t="inlineStr">
        <is>
          <t>United Kingdom</t>
        </is>
      </c>
      <c r="E667" s="3" t="inlineStr">
        <is>
          <t>England</t>
        </is>
      </c>
      <c r="F667" s="3" t="inlineStr">
        <is>
          <t>Mountain Bikes</t>
        </is>
      </c>
      <c r="G667" s="3" t="inlineStr">
        <is>
          <t>Silver</t>
        </is>
      </c>
      <c r="H667" s="3" t="inlineStr">
        <is>
          <t>Mountain-200 Silver, 38</t>
        </is>
      </c>
      <c r="I667" s="4" t="n">
        <v>1</v>
      </c>
      <c r="J667" s="24" t="n">
        <v>550</v>
      </c>
      <c r="K667" s="24" t="n">
        <v>850</v>
      </c>
      <c r="L667" s="25">
        <f>I667*K667</f>
        <v/>
      </c>
      <c r="M667" s="25">
        <f>I667*J667</f>
        <v/>
      </c>
      <c r="N667" s="25">
        <f>L667-M667</f>
        <v/>
      </c>
      <c r="O667" s="26">
        <f>IFERROR(N667/L667,0)</f>
        <v/>
      </c>
      <c r="P667">
        <f>YEAR(A667)</f>
        <v/>
      </c>
      <c r="Q667">
        <f>TEXT(A667,"mmm")</f>
        <v/>
      </c>
      <c r="R667">
        <f>IF(B667&lt;25,"18-24",IF(B667&lt;35,"25-34",IF(B667&lt;45,"35-44","45+")))</f>
        <v/>
      </c>
    </row>
    <row r="668">
      <c r="A668" s="23" t="n">
        <v>44538</v>
      </c>
      <c r="B668" s="3" t="n">
        <v>47</v>
      </c>
      <c r="C668" s="3" t="inlineStr">
        <is>
          <t>F</t>
        </is>
      </c>
      <c r="D668" s="3" t="inlineStr">
        <is>
          <t>Canada</t>
        </is>
      </c>
      <c r="E668" s="3" t="inlineStr">
        <is>
          <t>British Columbia</t>
        </is>
      </c>
      <c r="F668" s="3" t="inlineStr">
        <is>
          <t>Road Bikes</t>
        </is>
      </c>
      <c r="G668" s="3" t="inlineStr">
        <is>
          <t>Black</t>
        </is>
      </c>
      <c r="H668" s="3" t="inlineStr">
        <is>
          <t>Road-750 Black, 44</t>
        </is>
      </c>
      <c r="I668" s="4" t="n">
        <v>1</v>
      </c>
      <c r="J668" s="24" t="n">
        <v>700</v>
      </c>
      <c r="K668" s="24" t="n">
        <v>1100</v>
      </c>
      <c r="L668" s="25">
        <f>I668*K668</f>
        <v/>
      </c>
      <c r="M668" s="25">
        <f>I668*J668</f>
        <v/>
      </c>
      <c r="N668" s="25">
        <f>L668-M668</f>
        <v/>
      </c>
      <c r="O668" s="26">
        <f>IFERROR(N668/L668,0)</f>
        <v/>
      </c>
      <c r="P668">
        <f>YEAR(A668)</f>
        <v/>
      </c>
      <c r="Q668">
        <f>TEXT(A668,"mmm")</f>
        <v/>
      </c>
      <c r="R668">
        <f>IF(B668&lt;25,"18-24",IF(B668&lt;35,"25-34",IF(B668&lt;45,"35-44","45+")))</f>
        <v/>
      </c>
    </row>
    <row r="669">
      <c r="A669" s="23" t="n">
        <v>44542</v>
      </c>
      <c r="B669" s="3" t="n">
        <v>47</v>
      </c>
      <c r="C669" s="3" t="inlineStr">
        <is>
          <t>M</t>
        </is>
      </c>
      <c r="D669" s="3" t="inlineStr">
        <is>
          <t>Germany</t>
        </is>
      </c>
      <c r="E669" s="3" t="inlineStr">
        <is>
          <t>Nordrhein-Westfalen</t>
        </is>
      </c>
      <c r="F669" s="3" t="inlineStr">
        <is>
          <t>Road Bikes</t>
        </is>
      </c>
      <c r="G669" s="3" t="inlineStr">
        <is>
          <t>Black</t>
        </is>
      </c>
      <c r="H669" s="3" t="inlineStr">
        <is>
          <t>Road-650 Black, 44</t>
        </is>
      </c>
      <c r="I669" s="4" t="n">
        <v>4</v>
      </c>
      <c r="J669" s="24" t="n">
        <v>620</v>
      </c>
      <c r="K669" s="24" t="n">
        <v>980</v>
      </c>
      <c r="L669" s="25">
        <f>I669*K669</f>
        <v/>
      </c>
      <c r="M669" s="25">
        <f>I669*J669</f>
        <v/>
      </c>
      <c r="N669" s="25">
        <f>L669-M669</f>
        <v/>
      </c>
      <c r="O669" s="26">
        <f>IFERROR(N669/L669,0)</f>
        <v/>
      </c>
      <c r="P669">
        <f>YEAR(A669)</f>
        <v/>
      </c>
      <c r="Q669">
        <f>TEXT(A669,"mmm")</f>
        <v/>
      </c>
      <c r="R669">
        <f>IF(B669&lt;25,"18-24",IF(B669&lt;35,"25-34",IF(B669&lt;45,"35-44","45+")))</f>
        <v/>
      </c>
    </row>
    <row r="670">
      <c r="A670" s="23" t="n">
        <v>44545</v>
      </c>
      <c r="B670" s="3" t="n">
        <v>47</v>
      </c>
      <c r="C670" s="3" t="inlineStr">
        <is>
          <t>M</t>
        </is>
      </c>
      <c r="D670" s="3" t="inlineStr">
        <is>
          <t>United Kingdom</t>
        </is>
      </c>
      <c r="E670" s="3" t="inlineStr">
        <is>
          <t>England</t>
        </is>
      </c>
      <c r="F670" s="3" t="inlineStr">
        <is>
          <t>Road Bikes</t>
        </is>
      </c>
      <c r="G670" s="3" t="inlineStr">
        <is>
          <t>Black</t>
        </is>
      </c>
      <c r="H670" s="3" t="inlineStr">
        <is>
          <t>Road-650 Black, 62</t>
        </is>
      </c>
      <c r="I670" s="4" t="n">
        <v>2</v>
      </c>
      <c r="J670" s="24" t="n">
        <v>620</v>
      </c>
      <c r="K670" s="24" t="n">
        <v>980</v>
      </c>
      <c r="L670" s="25">
        <f>I670*K670</f>
        <v/>
      </c>
      <c r="M670" s="25">
        <f>I670*J670</f>
        <v/>
      </c>
      <c r="N670" s="25">
        <f>L670-M670</f>
        <v/>
      </c>
      <c r="O670" s="26">
        <f>IFERROR(N670/L670,0)</f>
        <v/>
      </c>
      <c r="P670">
        <f>YEAR(A670)</f>
        <v/>
      </c>
      <c r="Q670">
        <f>TEXT(A670,"mmm")</f>
        <v/>
      </c>
      <c r="R670">
        <f>IF(B670&lt;25,"18-24",IF(B670&lt;35,"25-34",IF(B670&lt;45,"35-44","45+")))</f>
        <v/>
      </c>
    </row>
    <row r="671">
      <c r="A671" s="23" t="n">
        <v>44548</v>
      </c>
      <c r="B671" s="3" t="n">
        <v>47</v>
      </c>
      <c r="C671" s="3" t="inlineStr">
        <is>
          <t>M</t>
        </is>
      </c>
      <c r="D671" s="3" t="inlineStr">
        <is>
          <t>Australia</t>
        </is>
      </c>
      <c r="E671" s="3" t="inlineStr">
        <is>
          <t>Victoria</t>
        </is>
      </c>
      <c r="F671" s="3" t="inlineStr">
        <is>
          <t>Road Bikes</t>
        </is>
      </c>
      <c r="G671" s="3" t="inlineStr">
        <is>
          <t>Black</t>
        </is>
      </c>
      <c r="H671" s="3" t="inlineStr">
        <is>
          <t>Road-750 Black, 48</t>
        </is>
      </c>
      <c r="I671" s="4" t="n">
        <v>2</v>
      </c>
      <c r="J671" s="24" t="n">
        <v>700</v>
      </c>
      <c r="K671" s="24" t="n">
        <v>1100</v>
      </c>
      <c r="L671" s="25">
        <f>I671*K671</f>
        <v/>
      </c>
      <c r="M671" s="25">
        <f>I671*J671</f>
        <v/>
      </c>
      <c r="N671" s="25">
        <f>L671-M671</f>
        <v/>
      </c>
      <c r="O671" s="26">
        <f>IFERROR(N671/L671,0)</f>
        <v/>
      </c>
      <c r="P671">
        <f>YEAR(A671)</f>
        <v/>
      </c>
      <c r="Q671">
        <f>TEXT(A671,"mmm")</f>
        <v/>
      </c>
      <c r="R671">
        <f>IF(B671&lt;25,"18-24",IF(B671&lt;35,"25-34",IF(B671&lt;45,"35-44","45+")))</f>
        <v/>
      </c>
    </row>
    <row r="672">
      <c r="A672" s="23" t="n">
        <v>44470</v>
      </c>
      <c r="B672" s="3" t="n">
        <v>48</v>
      </c>
      <c r="C672" s="3" t="inlineStr">
        <is>
          <t>F</t>
        </is>
      </c>
      <c r="D672" s="3" t="inlineStr">
        <is>
          <t>United States</t>
        </is>
      </c>
      <c r="E672" s="3" t="inlineStr">
        <is>
          <t>California</t>
        </is>
      </c>
      <c r="F672" s="3" t="inlineStr">
        <is>
          <t>Road Bikes</t>
        </is>
      </c>
      <c r="G672" s="3" t="inlineStr">
        <is>
          <t>Yellow</t>
        </is>
      </c>
      <c r="H672" s="3" t="inlineStr">
        <is>
          <t>Road-550-W Yellow, 40</t>
        </is>
      </c>
      <c r="I672" s="4" t="n">
        <v>3</v>
      </c>
      <c r="J672" s="24" t="n">
        <v>500</v>
      </c>
      <c r="K672" s="24" t="n">
        <v>800</v>
      </c>
      <c r="L672" s="25">
        <f>I672*K672</f>
        <v/>
      </c>
      <c r="M672" s="25">
        <f>I672*J672</f>
        <v/>
      </c>
      <c r="N672" s="25">
        <f>L672-M672</f>
        <v/>
      </c>
      <c r="O672" s="26">
        <f>IFERROR(N672/L672,0)</f>
        <v/>
      </c>
      <c r="P672">
        <f>YEAR(A672)</f>
        <v/>
      </c>
      <c r="Q672">
        <f>TEXT(A672,"mmm")</f>
        <v/>
      </c>
      <c r="R672">
        <f>IF(B672&lt;25,"18-24",IF(B672&lt;35,"25-34",IF(B672&lt;45,"35-44","45+")))</f>
        <v/>
      </c>
    </row>
    <row r="673">
      <c r="A673" s="23" t="n">
        <v>44483</v>
      </c>
      <c r="B673" s="3" t="n">
        <v>48</v>
      </c>
      <c r="C673" s="3" t="inlineStr">
        <is>
          <t>F</t>
        </is>
      </c>
      <c r="D673" s="3" t="inlineStr">
        <is>
          <t>Australia</t>
        </is>
      </c>
      <c r="E673" s="3" t="inlineStr">
        <is>
          <t>New South Wales</t>
        </is>
      </c>
      <c r="F673" s="3" t="inlineStr">
        <is>
          <t>Road Bikes</t>
        </is>
      </c>
      <c r="G673" s="3" t="inlineStr">
        <is>
          <t>Yellow</t>
        </is>
      </c>
      <c r="H673" s="3" t="inlineStr">
        <is>
          <t>Road-550-W Yellow, 38</t>
        </is>
      </c>
      <c r="I673" s="4" t="n">
        <v>3</v>
      </c>
      <c r="J673" s="24" t="n">
        <v>500</v>
      </c>
      <c r="K673" s="24" t="n">
        <v>800</v>
      </c>
      <c r="L673" s="25">
        <f>I673*K673</f>
        <v/>
      </c>
      <c r="M673" s="25">
        <f>I673*J673</f>
        <v/>
      </c>
      <c r="N673" s="25">
        <f>L673-M673</f>
        <v/>
      </c>
      <c r="O673" s="26">
        <f>IFERROR(N673/L673,0)</f>
        <v/>
      </c>
      <c r="P673">
        <f>YEAR(A673)</f>
        <v/>
      </c>
      <c r="Q673">
        <f>TEXT(A673,"mmm")</f>
        <v/>
      </c>
      <c r="R673">
        <f>IF(B673&lt;25,"18-24",IF(B673&lt;35,"25-34",IF(B673&lt;45,"35-44","45+")))</f>
        <v/>
      </c>
    </row>
    <row r="674">
      <c r="A674" s="23" t="n">
        <v>44501</v>
      </c>
      <c r="B674" s="3" t="n">
        <v>48</v>
      </c>
      <c r="C674" s="3" t="inlineStr">
        <is>
          <t>M</t>
        </is>
      </c>
      <c r="D674" s="3" t="inlineStr">
        <is>
          <t>Germany</t>
        </is>
      </c>
      <c r="E674" s="3" t="inlineStr">
        <is>
          <t>Hessen</t>
        </is>
      </c>
      <c r="F674" s="3" t="inlineStr">
        <is>
          <t>Road Bikes</t>
        </is>
      </c>
      <c r="G674" s="3" t="inlineStr">
        <is>
          <t>Black</t>
        </is>
      </c>
      <c r="H674" s="3" t="inlineStr">
        <is>
          <t>Road-650 Black, 60</t>
        </is>
      </c>
      <c r="I674" s="4" t="n">
        <v>1</v>
      </c>
      <c r="J674" s="24" t="n">
        <v>620</v>
      </c>
      <c r="K674" s="24" t="n">
        <v>980</v>
      </c>
      <c r="L674" s="25">
        <f>I674*K674</f>
        <v/>
      </c>
      <c r="M674" s="25">
        <f>I674*J674</f>
        <v/>
      </c>
      <c r="N674" s="25">
        <f>L674-M674</f>
        <v/>
      </c>
      <c r="O674" s="26">
        <f>IFERROR(N674/L674,0)</f>
        <v/>
      </c>
      <c r="P674">
        <f>YEAR(A674)</f>
        <v/>
      </c>
      <c r="Q674">
        <f>TEXT(A674,"mmm")</f>
        <v/>
      </c>
      <c r="R674">
        <f>IF(B674&lt;25,"18-24",IF(B674&lt;35,"25-34",IF(B674&lt;45,"35-44","45+")))</f>
        <v/>
      </c>
    </row>
    <row r="675">
      <c r="A675" s="23" t="n">
        <v>44520</v>
      </c>
      <c r="B675" s="3" t="n">
        <v>48</v>
      </c>
      <c r="C675" s="3" t="inlineStr">
        <is>
          <t>M</t>
        </is>
      </c>
      <c r="D675" s="3" t="inlineStr">
        <is>
          <t>United States</t>
        </is>
      </c>
      <c r="E675" s="3" t="inlineStr">
        <is>
          <t>Washington</t>
        </is>
      </c>
      <c r="F675" s="3" t="inlineStr">
        <is>
          <t>Mountain Bikes</t>
        </is>
      </c>
      <c r="G675" s="3" t="inlineStr">
        <is>
          <t>Silver</t>
        </is>
      </c>
      <c r="H675" s="3" t="inlineStr">
        <is>
          <t>Mountain-200 Silver, 46</t>
        </is>
      </c>
      <c r="I675" s="4" t="n">
        <v>3</v>
      </c>
      <c r="J675" s="24" t="n">
        <v>550</v>
      </c>
      <c r="K675" s="24" t="n">
        <v>850</v>
      </c>
      <c r="L675" s="25">
        <f>I675*K675</f>
        <v/>
      </c>
      <c r="M675" s="25">
        <f>I675*J675</f>
        <v/>
      </c>
      <c r="N675" s="25">
        <f>L675-M675</f>
        <v/>
      </c>
      <c r="O675" s="26">
        <f>IFERROR(N675/L675,0)</f>
        <v/>
      </c>
      <c r="P675">
        <f>YEAR(A675)</f>
        <v/>
      </c>
      <c r="Q675">
        <f>TEXT(A675,"mmm")</f>
        <v/>
      </c>
      <c r="R675">
        <f>IF(B675&lt;25,"18-24",IF(B675&lt;35,"25-34",IF(B675&lt;45,"35-44","45+")))</f>
        <v/>
      </c>
    </row>
    <row r="676">
      <c r="A676" s="23" t="n">
        <v>44522</v>
      </c>
      <c r="B676" s="3" t="n">
        <v>48</v>
      </c>
      <c r="C676" s="3" t="inlineStr">
        <is>
          <t>M</t>
        </is>
      </c>
      <c r="D676" s="3" t="inlineStr">
        <is>
          <t>United States</t>
        </is>
      </c>
      <c r="E676" s="3" t="inlineStr">
        <is>
          <t>California</t>
        </is>
      </c>
      <c r="F676" s="3" t="inlineStr">
        <is>
          <t>Mountain Bikes</t>
        </is>
      </c>
      <c r="G676" s="3" t="inlineStr">
        <is>
          <t>Black</t>
        </is>
      </c>
      <c r="H676" s="3" t="inlineStr">
        <is>
          <t>Mountain-200 Black, 46</t>
        </is>
      </c>
      <c r="I676" s="4" t="n">
        <v>2</v>
      </c>
      <c r="J676" s="24" t="n">
        <v>550</v>
      </c>
      <c r="K676" s="24" t="n">
        <v>850</v>
      </c>
      <c r="L676" s="25">
        <f>I676*K676</f>
        <v/>
      </c>
      <c r="M676" s="25">
        <f>I676*J676</f>
        <v/>
      </c>
      <c r="N676" s="25">
        <f>L676-M676</f>
        <v/>
      </c>
      <c r="O676" s="26">
        <f>IFERROR(N676/L676,0)</f>
        <v/>
      </c>
      <c r="P676">
        <f>YEAR(A676)</f>
        <v/>
      </c>
      <c r="Q676">
        <f>TEXT(A676,"mmm")</f>
        <v/>
      </c>
      <c r="R676">
        <f>IF(B676&lt;25,"18-24",IF(B676&lt;35,"25-34",IF(B676&lt;45,"35-44","45+")))</f>
        <v/>
      </c>
    </row>
    <row r="677">
      <c r="A677" s="23" t="n">
        <v>44524</v>
      </c>
      <c r="B677" s="3" t="n">
        <v>48</v>
      </c>
      <c r="C677" s="3" t="inlineStr">
        <is>
          <t>M</t>
        </is>
      </c>
      <c r="D677" s="3" t="inlineStr">
        <is>
          <t>United States</t>
        </is>
      </c>
      <c r="E677" s="3" t="inlineStr">
        <is>
          <t>California</t>
        </is>
      </c>
      <c r="F677" s="3" t="inlineStr">
        <is>
          <t>Mountain Bikes</t>
        </is>
      </c>
      <c r="G677" s="3" t="inlineStr">
        <is>
          <t>Black</t>
        </is>
      </c>
      <c r="H677" s="3" t="inlineStr">
        <is>
          <t>Mountain-200 Black, 46</t>
        </is>
      </c>
      <c r="I677" s="4" t="n">
        <v>1</v>
      </c>
      <c r="J677" s="24" t="n">
        <v>550</v>
      </c>
      <c r="K677" s="24" t="n">
        <v>850</v>
      </c>
      <c r="L677" s="25">
        <f>I677*K677</f>
        <v/>
      </c>
      <c r="M677" s="25">
        <f>I677*J677</f>
        <v/>
      </c>
      <c r="N677" s="25">
        <f>L677-M677</f>
        <v/>
      </c>
      <c r="O677" s="26">
        <f>IFERROR(N677/L677,0)</f>
        <v/>
      </c>
      <c r="P677">
        <f>YEAR(A677)</f>
        <v/>
      </c>
      <c r="Q677">
        <f>TEXT(A677,"mmm")</f>
        <v/>
      </c>
      <c r="R677">
        <f>IF(B677&lt;25,"18-24",IF(B677&lt;35,"25-34",IF(B677&lt;45,"35-44","45+")))</f>
        <v/>
      </c>
    </row>
    <row r="678">
      <c r="A678" s="23" t="n">
        <v>44535</v>
      </c>
      <c r="B678" s="3" t="n">
        <v>48</v>
      </c>
      <c r="C678" s="3" t="inlineStr">
        <is>
          <t>M</t>
        </is>
      </c>
      <c r="D678" s="3" t="inlineStr">
        <is>
          <t>Canada</t>
        </is>
      </c>
      <c r="E678" s="3" t="inlineStr">
        <is>
          <t>British Columbia</t>
        </is>
      </c>
      <c r="F678" s="3" t="inlineStr">
        <is>
          <t>Road Bikes</t>
        </is>
      </c>
      <c r="G678" s="3" t="inlineStr">
        <is>
          <t>Black</t>
        </is>
      </c>
      <c r="H678" s="3" t="inlineStr">
        <is>
          <t>Road-750 Black, 48</t>
        </is>
      </c>
      <c r="I678" s="4" t="n">
        <v>2</v>
      </c>
      <c r="J678" s="24" t="n">
        <v>700</v>
      </c>
      <c r="K678" s="24" t="n">
        <v>1100</v>
      </c>
      <c r="L678" s="25">
        <f>I678*K678</f>
        <v/>
      </c>
      <c r="M678" s="25">
        <f>I678*J678</f>
        <v/>
      </c>
      <c r="N678" s="25">
        <f>L678-M678</f>
        <v/>
      </c>
      <c r="O678" s="26">
        <f>IFERROR(N678/L678,0)</f>
        <v/>
      </c>
      <c r="P678">
        <f>YEAR(A678)</f>
        <v/>
      </c>
      <c r="Q678">
        <f>TEXT(A678,"mmm")</f>
        <v/>
      </c>
      <c r="R678">
        <f>IF(B678&lt;25,"18-24",IF(B678&lt;35,"25-34",IF(B678&lt;45,"35-44","45+")))</f>
        <v/>
      </c>
    </row>
    <row r="679">
      <c r="A679" s="23" t="n">
        <v>44546</v>
      </c>
      <c r="B679" s="3" t="n">
        <v>48</v>
      </c>
      <c r="C679" s="3" t="inlineStr">
        <is>
          <t>F</t>
        </is>
      </c>
      <c r="D679" s="3" t="inlineStr">
        <is>
          <t>Canada</t>
        </is>
      </c>
      <c r="E679" s="3" t="inlineStr">
        <is>
          <t>British Columbia</t>
        </is>
      </c>
      <c r="F679" s="3" t="inlineStr">
        <is>
          <t>Road Bikes</t>
        </is>
      </c>
      <c r="G679" s="3" t="inlineStr">
        <is>
          <t>Black</t>
        </is>
      </c>
      <c r="H679" s="3" t="inlineStr">
        <is>
          <t>Road-750 Black, 58</t>
        </is>
      </c>
      <c r="I679" s="4" t="n">
        <v>4</v>
      </c>
      <c r="J679" s="24" t="n">
        <v>700</v>
      </c>
      <c r="K679" s="24" t="n">
        <v>1100</v>
      </c>
      <c r="L679" s="25">
        <f>I679*K679</f>
        <v/>
      </c>
      <c r="M679" s="25">
        <f>I679*J679</f>
        <v/>
      </c>
      <c r="N679" s="25">
        <f>L679-M679</f>
        <v/>
      </c>
      <c r="O679" s="26">
        <f>IFERROR(N679/L679,0)</f>
        <v/>
      </c>
      <c r="P679">
        <f>YEAR(A679)</f>
        <v/>
      </c>
      <c r="Q679">
        <f>TEXT(A679,"mmm")</f>
        <v/>
      </c>
      <c r="R679">
        <f>IF(B679&lt;25,"18-24",IF(B679&lt;35,"25-34",IF(B679&lt;45,"35-44","45+")))</f>
        <v/>
      </c>
    </row>
    <row r="680">
      <c r="A680" s="23" t="n">
        <v>44518</v>
      </c>
      <c r="B680" s="3" t="n">
        <v>49</v>
      </c>
      <c r="C680" s="3" t="inlineStr">
        <is>
          <t>F</t>
        </is>
      </c>
      <c r="D680" s="3" t="inlineStr">
        <is>
          <t>United States</t>
        </is>
      </c>
      <c r="E680" s="3" t="inlineStr">
        <is>
          <t>California</t>
        </is>
      </c>
      <c r="F680" s="3" t="inlineStr">
        <is>
          <t>Mountain Bikes</t>
        </is>
      </c>
      <c r="G680" s="3" t="inlineStr">
        <is>
          <t>Black</t>
        </is>
      </c>
      <c r="H680" s="3" t="inlineStr">
        <is>
          <t>Mountain-200 Black, 46</t>
        </is>
      </c>
      <c r="I680" s="4" t="n">
        <v>1</v>
      </c>
      <c r="J680" s="24" t="n">
        <v>550</v>
      </c>
      <c r="K680" s="24" t="n">
        <v>850</v>
      </c>
      <c r="L680" s="25">
        <f>I680*K680</f>
        <v/>
      </c>
      <c r="M680" s="25">
        <f>I680*J680</f>
        <v/>
      </c>
      <c r="N680" s="25">
        <f>L680-M680</f>
        <v/>
      </c>
      <c r="O680" s="26">
        <f>IFERROR(N680/L680,0)</f>
        <v/>
      </c>
      <c r="P680">
        <f>YEAR(A680)</f>
        <v/>
      </c>
      <c r="Q680">
        <f>TEXT(A680,"mmm")</f>
        <v/>
      </c>
      <c r="R680">
        <f>IF(B680&lt;25,"18-24",IF(B680&lt;35,"25-34",IF(B680&lt;45,"35-44","45+")))</f>
        <v/>
      </c>
    </row>
    <row r="681">
      <c r="A681" s="23" t="n">
        <v>44527</v>
      </c>
      <c r="B681" s="3" t="n">
        <v>49</v>
      </c>
      <c r="C681" s="3" t="inlineStr">
        <is>
          <t>F</t>
        </is>
      </c>
      <c r="D681" s="3" t="inlineStr">
        <is>
          <t>Canada</t>
        </is>
      </c>
      <c r="E681" s="3" t="inlineStr">
        <is>
          <t>British Columbia</t>
        </is>
      </c>
      <c r="F681" s="3" t="inlineStr">
        <is>
          <t>Road Bikes</t>
        </is>
      </c>
      <c r="G681" s="3" t="inlineStr">
        <is>
          <t>Red</t>
        </is>
      </c>
      <c r="H681" s="3" t="inlineStr">
        <is>
          <t>Road-250 Red, 48</t>
        </is>
      </c>
      <c r="I681" s="4" t="n">
        <v>2</v>
      </c>
      <c r="J681" s="24" t="n">
        <v>580</v>
      </c>
      <c r="K681" s="24" t="n">
        <v>920</v>
      </c>
      <c r="L681" s="25">
        <f>I681*K681</f>
        <v/>
      </c>
      <c r="M681" s="25">
        <f>I681*J681</f>
        <v/>
      </c>
      <c r="N681" s="25">
        <f>L681-M681</f>
        <v/>
      </c>
      <c r="O681" s="26">
        <f>IFERROR(N681/L681,0)</f>
        <v/>
      </c>
      <c r="P681">
        <f>YEAR(A681)</f>
        <v/>
      </c>
      <c r="Q681">
        <f>TEXT(A681,"mmm")</f>
        <v/>
      </c>
      <c r="R681">
        <f>IF(B681&lt;25,"18-24",IF(B681&lt;35,"25-34",IF(B681&lt;45,"35-44","45+")))</f>
        <v/>
      </c>
    </row>
    <row r="682">
      <c r="A682" s="23" t="n">
        <v>44537</v>
      </c>
      <c r="B682" s="3" t="n">
        <v>49</v>
      </c>
      <c r="C682" s="3" t="inlineStr">
        <is>
          <t>M</t>
        </is>
      </c>
      <c r="D682" s="3" t="inlineStr">
        <is>
          <t>United Kingdom</t>
        </is>
      </c>
      <c r="E682" s="3" t="inlineStr">
        <is>
          <t>England</t>
        </is>
      </c>
      <c r="F682" s="3" t="inlineStr">
        <is>
          <t>Road Bikes</t>
        </is>
      </c>
      <c r="G682" s="3" t="inlineStr">
        <is>
          <t>Red</t>
        </is>
      </c>
      <c r="H682" s="3" t="inlineStr">
        <is>
          <t>Road-250 Red, 52</t>
        </is>
      </c>
      <c r="I682" s="4" t="n">
        <v>1</v>
      </c>
      <c r="J682" s="24" t="n">
        <v>580</v>
      </c>
      <c r="K682" s="24" t="n">
        <v>920</v>
      </c>
      <c r="L682" s="25">
        <f>I682*K682</f>
        <v/>
      </c>
      <c r="M682" s="25">
        <f>I682*J682</f>
        <v/>
      </c>
      <c r="N682" s="25">
        <f>L682-M682</f>
        <v/>
      </c>
      <c r="O682" s="26">
        <f>IFERROR(N682/L682,0)</f>
        <v/>
      </c>
      <c r="P682">
        <f>YEAR(A682)</f>
        <v/>
      </c>
      <c r="Q682">
        <f>TEXT(A682,"mmm")</f>
        <v/>
      </c>
      <c r="R682">
        <f>IF(B682&lt;25,"18-24",IF(B682&lt;35,"25-34",IF(B682&lt;45,"35-44","45+")))</f>
        <v/>
      </c>
    </row>
    <row r="683">
      <c r="A683" s="23" t="n">
        <v>44543</v>
      </c>
      <c r="B683" s="3" t="n">
        <v>49</v>
      </c>
      <c r="C683" s="3" t="inlineStr">
        <is>
          <t>M</t>
        </is>
      </c>
      <c r="D683" s="3" t="inlineStr">
        <is>
          <t>United Kingdom</t>
        </is>
      </c>
      <c r="E683" s="3" t="inlineStr">
        <is>
          <t>England</t>
        </is>
      </c>
      <c r="F683" s="3" t="inlineStr">
        <is>
          <t>Mountain Bikes</t>
        </is>
      </c>
      <c r="G683" s="3" t="inlineStr">
        <is>
          <t>Black</t>
        </is>
      </c>
      <c r="H683" s="3" t="inlineStr">
        <is>
          <t>Mountain-200 Black, 38</t>
        </is>
      </c>
      <c r="I683" s="4" t="n">
        <v>1</v>
      </c>
      <c r="J683" s="24" t="n">
        <v>550</v>
      </c>
      <c r="K683" s="24" t="n">
        <v>850</v>
      </c>
      <c r="L683" s="25">
        <f>I683*K683</f>
        <v/>
      </c>
      <c r="M683" s="25">
        <f>I683*J683</f>
        <v/>
      </c>
      <c r="N683" s="25">
        <f>L683-M683</f>
        <v/>
      </c>
      <c r="O683" s="26">
        <f>IFERROR(N683/L683,0)</f>
        <v/>
      </c>
      <c r="P683">
        <f>YEAR(A683)</f>
        <v/>
      </c>
      <c r="Q683">
        <f>TEXT(A683,"mmm")</f>
        <v/>
      </c>
      <c r="R683">
        <f>IF(B683&lt;25,"18-24",IF(B683&lt;35,"25-34",IF(B683&lt;45,"35-44","45+")))</f>
        <v/>
      </c>
    </row>
    <row r="684">
      <c r="A684" s="23" t="n">
        <v>44554</v>
      </c>
      <c r="B684" s="3" t="n">
        <v>49</v>
      </c>
      <c r="C684" s="3" t="inlineStr">
        <is>
          <t>F</t>
        </is>
      </c>
      <c r="D684" s="3" t="inlineStr">
        <is>
          <t>Germany</t>
        </is>
      </c>
      <c r="E684" s="3" t="inlineStr">
        <is>
          <t>Nordrhein-Westfalen</t>
        </is>
      </c>
      <c r="F684" s="3" t="inlineStr">
        <is>
          <t>Road Bikes</t>
        </is>
      </c>
      <c r="G684" s="3" t="inlineStr">
        <is>
          <t>Red</t>
        </is>
      </c>
      <c r="H684" s="3" t="inlineStr">
        <is>
          <t>Road-250 Red, 58</t>
        </is>
      </c>
      <c r="I684" s="4" t="n">
        <v>3</v>
      </c>
      <c r="J684" s="24" t="n">
        <v>580</v>
      </c>
      <c r="K684" s="24" t="n">
        <v>920</v>
      </c>
      <c r="L684" s="25">
        <f>I684*K684</f>
        <v/>
      </c>
      <c r="M684" s="25">
        <f>I684*J684</f>
        <v/>
      </c>
      <c r="N684" s="25">
        <f>L684-M684</f>
        <v/>
      </c>
      <c r="O684" s="26">
        <f>IFERROR(N684/L684,0)</f>
        <v/>
      </c>
      <c r="P684">
        <f>YEAR(A684)</f>
        <v/>
      </c>
      <c r="Q684">
        <f>TEXT(A684,"mmm")</f>
        <v/>
      </c>
      <c r="R684">
        <f>IF(B684&lt;25,"18-24",IF(B684&lt;35,"25-34",IF(B684&lt;45,"35-44","45+")))</f>
        <v/>
      </c>
    </row>
    <row r="685">
      <c r="A685" s="23" t="n">
        <v>44557</v>
      </c>
      <c r="B685" s="3" t="n">
        <v>49</v>
      </c>
      <c r="C685" s="3" t="inlineStr">
        <is>
          <t>M</t>
        </is>
      </c>
      <c r="D685" s="3" t="inlineStr">
        <is>
          <t>Australia</t>
        </is>
      </c>
      <c r="E685" s="3" t="inlineStr">
        <is>
          <t>New South Wales</t>
        </is>
      </c>
      <c r="F685" s="3" t="inlineStr">
        <is>
          <t>Road Bikes</t>
        </is>
      </c>
      <c r="G685" s="3" t="inlineStr">
        <is>
          <t>Black</t>
        </is>
      </c>
      <c r="H685" s="3" t="inlineStr">
        <is>
          <t>Road-750 Black, 52</t>
        </is>
      </c>
      <c r="I685" s="4" t="n">
        <v>1</v>
      </c>
      <c r="J685" s="24" t="n">
        <v>700</v>
      </c>
      <c r="K685" s="24" t="n">
        <v>1100</v>
      </c>
      <c r="L685" s="25">
        <f>I685*K685</f>
        <v/>
      </c>
      <c r="M685" s="25">
        <f>I685*J685</f>
        <v/>
      </c>
      <c r="N685" s="25">
        <f>L685-M685</f>
        <v/>
      </c>
      <c r="O685" s="26">
        <f>IFERROR(N685/L685,0)</f>
        <v/>
      </c>
      <c r="P685">
        <f>YEAR(A685)</f>
        <v/>
      </c>
      <c r="Q685">
        <f>TEXT(A685,"mmm")</f>
        <v/>
      </c>
      <c r="R685">
        <f>IF(B685&lt;25,"18-24",IF(B685&lt;35,"25-34",IF(B685&lt;45,"35-44","45+")))</f>
        <v/>
      </c>
    </row>
    <row r="686">
      <c r="A686" s="23" t="n">
        <v>44471</v>
      </c>
      <c r="B686" s="3" t="n">
        <v>50</v>
      </c>
      <c r="C686" s="3" t="inlineStr">
        <is>
          <t>M</t>
        </is>
      </c>
      <c r="D686" s="3" t="inlineStr">
        <is>
          <t>Australia</t>
        </is>
      </c>
      <c r="E686" s="3" t="inlineStr">
        <is>
          <t>Queensland</t>
        </is>
      </c>
      <c r="F686" s="3" t="inlineStr">
        <is>
          <t>Mountain Bikes</t>
        </is>
      </c>
      <c r="G686" s="3" t="inlineStr">
        <is>
          <t>Black</t>
        </is>
      </c>
      <c r="H686" s="3" t="inlineStr">
        <is>
          <t>Mountain-500 Black, 44</t>
        </is>
      </c>
      <c r="I686" s="4" t="n">
        <v>1</v>
      </c>
      <c r="J686" s="24" t="n">
        <v>480</v>
      </c>
      <c r="K686" s="24" t="n">
        <v>760</v>
      </c>
      <c r="L686" s="25">
        <f>I686*K686</f>
        <v/>
      </c>
      <c r="M686" s="25">
        <f>I686*J686</f>
        <v/>
      </c>
      <c r="N686" s="25">
        <f>L686-M686</f>
        <v/>
      </c>
      <c r="O686" s="26">
        <f>IFERROR(N686/L686,0)</f>
        <v/>
      </c>
      <c r="P686">
        <f>YEAR(A686)</f>
        <v/>
      </c>
      <c r="Q686">
        <f>TEXT(A686,"mmm")</f>
        <v/>
      </c>
      <c r="R686">
        <f>IF(B686&lt;25,"18-24",IF(B686&lt;35,"25-34",IF(B686&lt;45,"35-44","45+")))</f>
        <v/>
      </c>
    </row>
    <row r="687">
      <c r="A687" s="23" t="n">
        <v>44482</v>
      </c>
      <c r="B687" s="3" t="n">
        <v>50</v>
      </c>
      <c r="C687" s="3" t="inlineStr">
        <is>
          <t>M</t>
        </is>
      </c>
      <c r="D687" s="3" t="inlineStr">
        <is>
          <t>Australia</t>
        </is>
      </c>
      <c r="E687" s="3" t="inlineStr">
        <is>
          <t>New South Wales</t>
        </is>
      </c>
      <c r="F687" s="3" t="inlineStr">
        <is>
          <t>Mountain Bikes</t>
        </is>
      </c>
      <c r="G687" s="3" t="inlineStr">
        <is>
          <t>Black</t>
        </is>
      </c>
      <c r="H687" s="3" t="inlineStr">
        <is>
          <t>Mountain-500 Black, 48</t>
        </is>
      </c>
      <c r="I687" s="4" t="n">
        <v>4</v>
      </c>
      <c r="J687" s="24" t="n">
        <v>480</v>
      </c>
      <c r="K687" s="24" t="n">
        <v>760</v>
      </c>
      <c r="L687" s="25">
        <f>I687*K687</f>
        <v/>
      </c>
      <c r="M687" s="25">
        <f>I687*J687</f>
        <v/>
      </c>
      <c r="N687" s="25">
        <f>L687-M687</f>
        <v/>
      </c>
      <c r="O687" s="26">
        <f>IFERROR(N687/L687,0)</f>
        <v/>
      </c>
      <c r="P687">
        <f>YEAR(A687)</f>
        <v/>
      </c>
      <c r="Q687">
        <f>TEXT(A687,"mmm")</f>
        <v/>
      </c>
      <c r="R687">
        <f>IF(B687&lt;25,"18-24",IF(B687&lt;35,"25-34",IF(B687&lt;45,"35-44","45+")))</f>
        <v/>
      </c>
    </row>
    <row r="688">
      <c r="A688" s="23" t="n">
        <v>44485</v>
      </c>
      <c r="B688" s="3" t="n">
        <v>50</v>
      </c>
      <c r="C688" s="3" t="inlineStr">
        <is>
          <t>M</t>
        </is>
      </c>
      <c r="D688" s="3" t="inlineStr">
        <is>
          <t>United States</t>
        </is>
      </c>
      <c r="E688" s="3" t="inlineStr">
        <is>
          <t>California</t>
        </is>
      </c>
      <c r="F688" s="3" t="inlineStr">
        <is>
          <t>Mountain Bikes</t>
        </is>
      </c>
      <c r="G688" s="3" t="inlineStr">
        <is>
          <t>Black</t>
        </is>
      </c>
      <c r="H688" s="3" t="inlineStr">
        <is>
          <t>Mountain-200 Black, 46</t>
        </is>
      </c>
      <c r="I688" s="4" t="n">
        <v>1</v>
      </c>
      <c r="J688" s="24" t="n">
        <v>550</v>
      </c>
      <c r="K688" s="24" t="n">
        <v>850</v>
      </c>
      <c r="L688" s="25">
        <f>I688*K688</f>
        <v/>
      </c>
      <c r="M688" s="25">
        <f>I688*J688</f>
        <v/>
      </c>
      <c r="N688" s="25">
        <f>L688-M688</f>
        <v/>
      </c>
      <c r="O688" s="26">
        <f>IFERROR(N688/L688,0)</f>
        <v/>
      </c>
      <c r="P688">
        <f>YEAR(A688)</f>
        <v/>
      </c>
      <c r="Q688">
        <f>TEXT(A688,"mmm")</f>
        <v/>
      </c>
      <c r="R688">
        <f>IF(B688&lt;25,"18-24",IF(B688&lt;35,"25-34",IF(B688&lt;45,"35-44","45+")))</f>
        <v/>
      </c>
    </row>
    <row r="689">
      <c r="A689" s="23" t="n">
        <v>44487</v>
      </c>
      <c r="B689" s="3" t="n">
        <v>50</v>
      </c>
      <c r="C689" s="3" t="inlineStr">
        <is>
          <t>M</t>
        </is>
      </c>
      <c r="D689" s="3" t="inlineStr">
        <is>
          <t>Australia</t>
        </is>
      </c>
      <c r="E689" s="3" t="inlineStr">
        <is>
          <t>Victoria</t>
        </is>
      </c>
      <c r="F689" s="3" t="inlineStr">
        <is>
          <t>Mountain Bikes</t>
        </is>
      </c>
      <c r="G689" s="3" t="inlineStr">
        <is>
          <t>Silver</t>
        </is>
      </c>
      <c r="H689" s="3" t="inlineStr">
        <is>
          <t>Mountain-500 Silver, 40</t>
        </is>
      </c>
      <c r="I689" s="4" t="n">
        <v>1</v>
      </c>
      <c r="J689" s="24" t="n">
        <v>480</v>
      </c>
      <c r="K689" s="24" t="n">
        <v>760</v>
      </c>
      <c r="L689" s="25">
        <f>I689*K689</f>
        <v/>
      </c>
      <c r="M689" s="25">
        <f>I689*J689</f>
        <v/>
      </c>
      <c r="N689" s="25">
        <f>L689-M689</f>
        <v/>
      </c>
      <c r="O689" s="26">
        <f>IFERROR(N689/L689,0)</f>
        <v/>
      </c>
      <c r="P689">
        <f>YEAR(A689)</f>
        <v/>
      </c>
      <c r="Q689">
        <f>TEXT(A689,"mmm")</f>
        <v/>
      </c>
      <c r="R689">
        <f>IF(B689&lt;25,"18-24",IF(B689&lt;35,"25-34",IF(B689&lt;45,"35-44","45+")))</f>
        <v/>
      </c>
    </row>
    <row r="690">
      <c r="A690" s="23" t="n">
        <v>44507</v>
      </c>
      <c r="B690" s="3" t="n">
        <v>50</v>
      </c>
      <c r="C690" s="3" t="inlineStr">
        <is>
          <t>M</t>
        </is>
      </c>
      <c r="D690" s="3" t="inlineStr">
        <is>
          <t>Germany</t>
        </is>
      </c>
      <c r="E690" s="3" t="inlineStr">
        <is>
          <t>Nordrhein-Westfalen</t>
        </is>
      </c>
      <c r="F690" s="3" t="inlineStr">
        <is>
          <t>Road Bikes</t>
        </is>
      </c>
      <c r="G690" s="3" t="inlineStr">
        <is>
          <t>Red</t>
        </is>
      </c>
      <c r="H690" s="3" t="inlineStr">
        <is>
          <t>Road-650 Red, 62</t>
        </is>
      </c>
      <c r="I690" s="4" t="n">
        <v>2</v>
      </c>
      <c r="J690" s="24" t="n">
        <v>620</v>
      </c>
      <c r="K690" s="24" t="n">
        <v>980</v>
      </c>
      <c r="L690" s="25">
        <f>I690*K690</f>
        <v/>
      </c>
      <c r="M690" s="25">
        <f>I690*J690</f>
        <v/>
      </c>
      <c r="N690" s="25">
        <f>L690-M690</f>
        <v/>
      </c>
      <c r="O690" s="26">
        <f>IFERROR(N690/L690,0)</f>
        <v/>
      </c>
      <c r="P690">
        <f>YEAR(A690)</f>
        <v/>
      </c>
      <c r="Q690">
        <f>TEXT(A690,"mmm")</f>
        <v/>
      </c>
      <c r="R690">
        <f>IF(B690&lt;25,"18-24",IF(B690&lt;35,"25-34",IF(B690&lt;45,"35-44","45+")))</f>
        <v/>
      </c>
    </row>
    <row r="691">
      <c r="A691" s="23" t="n">
        <v>44510</v>
      </c>
      <c r="B691" s="3" t="n">
        <v>50</v>
      </c>
      <c r="C691" s="3" t="inlineStr">
        <is>
          <t>F</t>
        </is>
      </c>
      <c r="D691" s="3" t="inlineStr">
        <is>
          <t>United States</t>
        </is>
      </c>
      <c r="E691" s="3" t="inlineStr">
        <is>
          <t>Washington</t>
        </is>
      </c>
      <c r="F691" s="3" t="inlineStr">
        <is>
          <t>Mountain Bikes</t>
        </is>
      </c>
      <c r="G691" s="3" t="inlineStr">
        <is>
          <t>Black</t>
        </is>
      </c>
      <c r="H691" s="3" t="inlineStr">
        <is>
          <t>Mountain-200 Black, 46</t>
        </is>
      </c>
      <c r="I691" s="4" t="n">
        <v>1</v>
      </c>
      <c r="J691" s="24" t="n">
        <v>550</v>
      </c>
      <c r="K691" s="24" t="n">
        <v>850</v>
      </c>
      <c r="L691" s="25">
        <f>I691*K691</f>
        <v/>
      </c>
      <c r="M691" s="25">
        <f>I691*J691</f>
        <v/>
      </c>
      <c r="N691" s="25">
        <f>L691-M691</f>
        <v/>
      </c>
      <c r="O691" s="26">
        <f>IFERROR(N691/L691,0)</f>
        <v/>
      </c>
      <c r="P691">
        <f>YEAR(A691)</f>
        <v/>
      </c>
      <c r="Q691">
        <f>TEXT(A691,"mmm")</f>
        <v/>
      </c>
      <c r="R691">
        <f>IF(B691&lt;25,"18-24",IF(B691&lt;35,"25-34",IF(B691&lt;45,"35-44","45+")))</f>
        <v/>
      </c>
    </row>
    <row r="692">
      <c r="A692" s="23" t="n">
        <v>44549</v>
      </c>
      <c r="B692" s="3" t="n">
        <v>50</v>
      </c>
      <c r="C692" s="3" t="inlineStr">
        <is>
          <t>F</t>
        </is>
      </c>
      <c r="D692" s="3" t="inlineStr">
        <is>
          <t>Germany</t>
        </is>
      </c>
      <c r="E692" s="3" t="inlineStr">
        <is>
          <t>Nordrhein-Westfalen</t>
        </is>
      </c>
      <c r="F692" s="3" t="inlineStr">
        <is>
          <t>Road Bikes</t>
        </is>
      </c>
      <c r="G692" s="3" t="inlineStr">
        <is>
          <t>Yellow</t>
        </is>
      </c>
      <c r="H692" s="3" t="inlineStr">
        <is>
          <t>Road-550-W Yellow, 42</t>
        </is>
      </c>
      <c r="I692" s="4" t="n">
        <v>3</v>
      </c>
      <c r="J692" s="24" t="n">
        <v>500</v>
      </c>
      <c r="K692" s="24" t="n">
        <v>800</v>
      </c>
      <c r="L692" s="25">
        <f>I692*K692</f>
        <v/>
      </c>
      <c r="M692" s="25">
        <f>I692*J692</f>
        <v/>
      </c>
      <c r="N692" s="25">
        <f>L692-M692</f>
        <v/>
      </c>
      <c r="O692" s="26">
        <f>IFERROR(N692/L692,0)</f>
        <v/>
      </c>
      <c r="P692">
        <f>YEAR(A692)</f>
        <v/>
      </c>
      <c r="Q692">
        <f>TEXT(A692,"mmm")</f>
        <v/>
      </c>
      <c r="R692">
        <f>IF(B692&lt;25,"18-24",IF(B692&lt;35,"25-34",IF(B692&lt;45,"35-44","45+")))</f>
        <v/>
      </c>
    </row>
    <row r="693">
      <c r="A693" s="23" t="n">
        <v>44555</v>
      </c>
      <c r="B693" s="3" t="n">
        <v>50</v>
      </c>
      <c r="C693" s="3" t="inlineStr">
        <is>
          <t>M</t>
        </is>
      </c>
      <c r="D693" s="3" t="inlineStr">
        <is>
          <t>Australia</t>
        </is>
      </c>
      <c r="E693" s="3" t="inlineStr">
        <is>
          <t>New South Wales</t>
        </is>
      </c>
      <c r="F693" s="3" t="inlineStr">
        <is>
          <t>Road Bikes</t>
        </is>
      </c>
      <c r="G693" s="3" t="inlineStr">
        <is>
          <t>Black</t>
        </is>
      </c>
      <c r="H693" s="3" t="inlineStr">
        <is>
          <t>Road-750 Black, 52</t>
        </is>
      </c>
      <c r="I693" s="4" t="n">
        <v>1</v>
      </c>
      <c r="J693" s="24" t="n">
        <v>700</v>
      </c>
      <c r="K693" s="24" t="n">
        <v>1100</v>
      </c>
      <c r="L693" s="25">
        <f>I693*K693</f>
        <v/>
      </c>
      <c r="M693" s="25">
        <f>I693*J693</f>
        <v/>
      </c>
      <c r="N693" s="25">
        <f>L693-M693</f>
        <v/>
      </c>
      <c r="O693" s="26">
        <f>IFERROR(N693/L693,0)</f>
        <v/>
      </c>
      <c r="P693">
        <f>YEAR(A693)</f>
        <v/>
      </c>
      <c r="Q693">
        <f>TEXT(A693,"mmm")</f>
        <v/>
      </c>
      <c r="R693">
        <f>IF(B693&lt;25,"18-24",IF(B693&lt;35,"25-34",IF(B693&lt;45,"35-44","45+")))</f>
        <v/>
      </c>
    </row>
    <row r="694">
      <c r="A694" s="23" t="n">
        <v>44472</v>
      </c>
      <c r="B694" s="3" t="n">
        <v>51</v>
      </c>
      <c r="C694" s="3" t="inlineStr">
        <is>
          <t>M</t>
        </is>
      </c>
      <c r="D694" s="3" t="inlineStr">
        <is>
          <t>United States</t>
        </is>
      </c>
      <c r="E694" s="3" t="inlineStr">
        <is>
          <t>Washington</t>
        </is>
      </c>
      <c r="F694" s="3" t="inlineStr">
        <is>
          <t>Mountain Bikes</t>
        </is>
      </c>
      <c r="G694" s="3" t="inlineStr">
        <is>
          <t>Black</t>
        </is>
      </c>
      <c r="H694" s="3" t="inlineStr">
        <is>
          <t>Mountain-100 Black, 48</t>
        </is>
      </c>
      <c r="I694" s="4" t="n">
        <v>1</v>
      </c>
      <c r="J694" s="24" t="n">
        <v>400</v>
      </c>
      <c r="K694" s="24" t="n">
        <v>650</v>
      </c>
      <c r="L694" s="25">
        <f>I694*K694</f>
        <v/>
      </c>
      <c r="M694" s="25">
        <f>I694*J694</f>
        <v/>
      </c>
      <c r="N694" s="25">
        <f>L694-M694</f>
        <v/>
      </c>
      <c r="O694" s="26">
        <f>IFERROR(N694/L694,0)</f>
        <v/>
      </c>
      <c r="P694">
        <f>YEAR(A694)</f>
        <v/>
      </c>
      <c r="Q694">
        <f>TEXT(A694,"mmm")</f>
        <v/>
      </c>
      <c r="R694">
        <f>IF(B694&lt;25,"18-24",IF(B694&lt;35,"25-34",IF(B694&lt;45,"35-44","45+")))</f>
        <v/>
      </c>
    </row>
    <row r="695">
      <c r="A695" s="23" t="n">
        <v>44487</v>
      </c>
      <c r="B695" s="3" t="n">
        <v>51</v>
      </c>
      <c r="C695" s="3" t="inlineStr">
        <is>
          <t>M</t>
        </is>
      </c>
      <c r="D695" s="3" t="inlineStr">
        <is>
          <t>United States</t>
        </is>
      </c>
      <c r="E695" s="3" t="inlineStr">
        <is>
          <t>Oregon</t>
        </is>
      </c>
      <c r="F695" s="3" t="inlineStr">
        <is>
          <t>Mountain Bikes</t>
        </is>
      </c>
      <c r="G695" s="3" t="inlineStr">
        <is>
          <t>Black</t>
        </is>
      </c>
      <c r="H695" s="3" t="inlineStr">
        <is>
          <t>Mountain-200 Black, 38</t>
        </is>
      </c>
      <c r="I695" s="4" t="n">
        <v>4</v>
      </c>
      <c r="J695" s="24" t="n">
        <v>550</v>
      </c>
      <c r="K695" s="24" t="n">
        <v>850</v>
      </c>
      <c r="L695" s="25">
        <f>I695*K695</f>
        <v/>
      </c>
      <c r="M695" s="25">
        <f>I695*J695</f>
        <v/>
      </c>
      <c r="N695" s="25">
        <f>L695-M695</f>
        <v/>
      </c>
      <c r="O695" s="26">
        <f>IFERROR(N695/L695,0)</f>
        <v/>
      </c>
      <c r="P695">
        <f>YEAR(A695)</f>
        <v/>
      </c>
      <c r="Q695">
        <f>TEXT(A695,"mmm")</f>
        <v/>
      </c>
      <c r="R695">
        <f>IF(B695&lt;25,"18-24",IF(B695&lt;35,"25-34",IF(B695&lt;45,"35-44","45+")))</f>
        <v/>
      </c>
    </row>
    <row r="696">
      <c r="A696" s="23" t="n">
        <v>44488</v>
      </c>
      <c r="B696" s="3" t="n">
        <v>51</v>
      </c>
      <c r="C696" s="3" t="inlineStr">
        <is>
          <t>F</t>
        </is>
      </c>
      <c r="D696" s="3" t="inlineStr">
        <is>
          <t>Australia</t>
        </is>
      </c>
      <c r="E696" s="3" t="inlineStr">
        <is>
          <t>New South Wales</t>
        </is>
      </c>
      <c r="F696" s="3" t="inlineStr">
        <is>
          <t>Mountain Bikes</t>
        </is>
      </c>
      <c r="G696" s="3" t="inlineStr">
        <is>
          <t>Silver</t>
        </is>
      </c>
      <c r="H696" s="3" t="inlineStr">
        <is>
          <t>Mountain-200 Silver, 42</t>
        </is>
      </c>
      <c r="I696" s="4" t="n">
        <v>1</v>
      </c>
      <c r="J696" s="24" t="n">
        <v>550</v>
      </c>
      <c r="K696" s="24" t="n">
        <v>850</v>
      </c>
      <c r="L696" s="25">
        <f>I696*K696</f>
        <v/>
      </c>
      <c r="M696" s="25">
        <f>I696*J696</f>
        <v/>
      </c>
      <c r="N696" s="25">
        <f>L696-M696</f>
        <v/>
      </c>
      <c r="O696" s="26">
        <f>IFERROR(N696/L696,0)</f>
        <v/>
      </c>
      <c r="P696">
        <f>YEAR(A696)</f>
        <v/>
      </c>
      <c r="Q696">
        <f>TEXT(A696,"mmm")</f>
        <v/>
      </c>
      <c r="R696">
        <f>IF(B696&lt;25,"18-24",IF(B696&lt;35,"25-34",IF(B696&lt;45,"35-44","45+")))</f>
        <v/>
      </c>
    </row>
    <row r="697">
      <c r="A697" s="23" t="n">
        <v>44495</v>
      </c>
      <c r="B697" s="3" t="n">
        <v>51</v>
      </c>
      <c r="C697" s="3" t="inlineStr">
        <is>
          <t>F</t>
        </is>
      </c>
      <c r="D697" s="3" t="inlineStr">
        <is>
          <t>United States</t>
        </is>
      </c>
      <c r="E697" s="3" t="inlineStr">
        <is>
          <t>California</t>
        </is>
      </c>
      <c r="F697" s="3" t="inlineStr">
        <is>
          <t>Mountain Bikes</t>
        </is>
      </c>
      <c r="G697" s="3" t="inlineStr">
        <is>
          <t>Silver</t>
        </is>
      </c>
      <c r="H697" s="3" t="inlineStr">
        <is>
          <t>Mountain-400-W Silver, 42</t>
        </is>
      </c>
      <c r="I697" s="4" t="n">
        <v>1</v>
      </c>
      <c r="J697" s="24" t="n">
        <v>450</v>
      </c>
      <c r="K697" s="24" t="n">
        <v>720</v>
      </c>
      <c r="L697" s="25">
        <f>I697*K697</f>
        <v/>
      </c>
      <c r="M697" s="25">
        <f>I697*J697</f>
        <v/>
      </c>
      <c r="N697" s="25">
        <f>L697-M697</f>
        <v/>
      </c>
      <c r="O697" s="26">
        <f>IFERROR(N697/L697,0)</f>
        <v/>
      </c>
      <c r="P697">
        <f>YEAR(A697)</f>
        <v/>
      </c>
      <c r="Q697">
        <f>TEXT(A697,"mmm")</f>
        <v/>
      </c>
      <c r="R697">
        <f>IF(B697&lt;25,"18-24",IF(B697&lt;35,"25-34",IF(B697&lt;45,"35-44","45+")))</f>
        <v/>
      </c>
    </row>
    <row r="698">
      <c r="A698" s="23" t="n">
        <v>44499</v>
      </c>
      <c r="B698" s="3" t="n">
        <v>51</v>
      </c>
      <c r="C698" s="3" t="inlineStr">
        <is>
          <t>M</t>
        </is>
      </c>
      <c r="D698" s="3" t="inlineStr">
        <is>
          <t>United States</t>
        </is>
      </c>
      <c r="E698" s="3" t="inlineStr">
        <is>
          <t>California</t>
        </is>
      </c>
      <c r="F698" s="3" t="inlineStr">
        <is>
          <t>Mountain Bikes</t>
        </is>
      </c>
      <c r="G698" s="3" t="inlineStr">
        <is>
          <t>Silver</t>
        </is>
      </c>
      <c r="H698" s="3" t="inlineStr">
        <is>
          <t>Mountain-400-W Silver, 38</t>
        </is>
      </c>
      <c r="I698" s="4" t="n">
        <v>4</v>
      </c>
      <c r="J698" s="24" t="n">
        <v>450</v>
      </c>
      <c r="K698" s="24" t="n">
        <v>720</v>
      </c>
      <c r="L698" s="25">
        <f>I698*K698</f>
        <v/>
      </c>
      <c r="M698" s="25">
        <f>I698*J698</f>
        <v/>
      </c>
      <c r="N698" s="25">
        <f>L698-M698</f>
        <v/>
      </c>
      <c r="O698" s="26">
        <f>IFERROR(N698/L698,0)</f>
        <v/>
      </c>
      <c r="P698">
        <f>YEAR(A698)</f>
        <v/>
      </c>
      <c r="Q698">
        <f>TEXT(A698,"mmm")</f>
        <v/>
      </c>
      <c r="R698">
        <f>IF(B698&lt;25,"18-24",IF(B698&lt;35,"25-34",IF(B698&lt;45,"35-44","45+")))</f>
        <v/>
      </c>
    </row>
    <row r="699">
      <c r="A699" s="23" t="n">
        <v>44550</v>
      </c>
      <c r="B699" s="3" t="n">
        <v>51</v>
      </c>
      <c r="C699" s="3" t="inlineStr">
        <is>
          <t>F</t>
        </is>
      </c>
      <c r="D699" s="3" t="inlineStr">
        <is>
          <t>Australia</t>
        </is>
      </c>
      <c r="E699" s="3" t="inlineStr">
        <is>
          <t>New South Wales</t>
        </is>
      </c>
      <c r="F699" s="3" t="inlineStr">
        <is>
          <t>Road Bikes</t>
        </is>
      </c>
      <c r="G699" s="3" t="inlineStr">
        <is>
          <t>Yellow</t>
        </is>
      </c>
      <c r="H699" s="3" t="inlineStr">
        <is>
          <t>Road-350-W Yellow, 40</t>
        </is>
      </c>
      <c r="I699" s="4" t="n">
        <v>1</v>
      </c>
      <c r="J699" s="24" t="n">
        <v>530</v>
      </c>
      <c r="K699" s="24" t="n">
        <v>840</v>
      </c>
      <c r="L699" s="25">
        <f>I699*K699</f>
        <v/>
      </c>
      <c r="M699" s="25">
        <f>I699*J699</f>
        <v/>
      </c>
      <c r="N699" s="25">
        <f>L699-M699</f>
        <v/>
      </c>
      <c r="O699" s="26">
        <f>IFERROR(N699/L699,0)</f>
        <v/>
      </c>
      <c r="P699">
        <f>YEAR(A699)</f>
        <v/>
      </c>
      <c r="Q699">
        <f>TEXT(A699,"mmm")</f>
        <v/>
      </c>
      <c r="R699">
        <f>IF(B699&lt;25,"18-24",IF(B699&lt;35,"25-34",IF(B699&lt;45,"35-44","45+")))</f>
        <v/>
      </c>
    </row>
    <row r="700">
      <c r="A700" s="23" t="n">
        <v>44472</v>
      </c>
      <c r="B700" s="3" t="n">
        <v>52</v>
      </c>
      <c r="C700" s="3" t="inlineStr">
        <is>
          <t>M</t>
        </is>
      </c>
      <c r="D700" s="3" t="inlineStr">
        <is>
          <t>Australia</t>
        </is>
      </c>
      <c r="E700" s="3" t="inlineStr">
        <is>
          <t>New South Wales</t>
        </is>
      </c>
      <c r="F700" s="3" t="inlineStr">
        <is>
          <t>Mountain Bikes</t>
        </is>
      </c>
      <c r="G700" s="3" t="inlineStr">
        <is>
          <t>Silver</t>
        </is>
      </c>
      <c r="H700" s="3" t="inlineStr">
        <is>
          <t>Mountain-200 Silver, 38</t>
        </is>
      </c>
      <c r="I700" s="4" t="n">
        <v>1</v>
      </c>
      <c r="J700" s="24" t="n">
        <v>550</v>
      </c>
      <c r="K700" s="24" t="n">
        <v>850</v>
      </c>
      <c r="L700" s="25">
        <f>I700*K700</f>
        <v/>
      </c>
      <c r="M700" s="25">
        <f>I700*J700</f>
        <v/>
      </c>
      <c r="N700" s="25">
        <f>L700-M700</f>
        <v/>
      </c>
      <c r="O700" s="26">
        <f>IFERROR(N700/L700,0)</f>
        <v/>
      </c>
      <c r="P700">
        <f>YEAR(A700)</f>
        <v/>
      </c>
      <c r="Q700">
        <f>TEXT(A700,"mmm")</f>
        <v/>
      </c>
      <c r="R700">
        <f>IF(B700&lt;25,"18-24",IF(B700&lt;35,"25-34",IF(B700&lt;45,"35-44","45+")))</f>
        <v/>
      </c>
    </row>
    <row r="701">
      <c r="A701" s="23" t="n">
        <v>44490</v>
      </c>
      <c r="B701" s="3" t="n">
        <v>52</v>
      </c>
      <c r="C701" s="3" t="inlineStr">
        <is>
          <t>M</t>
        </is>
      </c>
      <c r="D701" s="3" t="inlineStr">
        <is>
          <t>United States</t>
        </is>
      </c>
      <c r="E701" s="3" t="inlineStr">
        <is>
          <t>California</t>
        </is>
      </c>
      <c r="F701" s="3" t="inlineStr">
        <is>
          <t>Mountain Bikes</t>
        </is>
      </c>
      <c r="G701" s="3" t="inlineStr">
        <is>
          <t>Silver</t>
        </is>
      </c>
      <c r="H701" s="3" t="inlineStr">
        <is>
          <t>Mountain-200 Silver, 46</t>
        </is>
      </c>
      <c r="I701" s="4" t="n">
        <v>2</v>
      </c>
      <c r="J701" s="24" t="n">
        <v>550</v>
      </c>
      <c r="K701" s="24" t="n">
        <v>850</v>
      </c>
      <c r="L701" s="25">
        <f>I701*K701</f>
        <v/>
      </c>
      <c r="M701" s="25">
        <f>I701*J701</f>
        <v/>
      </c>
      <c r="N701" s="25">
        <f>L701-M701</f>
        <v/>
      </c>
      <c r="O701" s="26">
        <f>IFERROR(N701/L701,0)</f>
        <v/>
      </c>
      <c r="P701">
        <f>YEAR(A701)</f>
        <v/>
      </c>
      <c r="Q701">
        <f>TEXT(A701,"mmm")</f>
        <v/>
      </c>
      <c r="R701">
        <f>IF(B701&lt;25,"18-24",IF(B701&lt;35,"25-34",IF(B701&lt;45,"35-44","45+")))</f>
        <v/>
      </c>
    </row>
    <row r="702">
      <c r="A702" s="23" t="n">
        <v>44510</v>
      </c>
      <c r="B702" s="3" t="n">
        <v>52</v>
      </c>
      <c r="C702" s="3" t="inlineStr">
        <is>
          <t>M</t>
        </is>
      </c>
      <c r="D702" s="3" t="inlineStr">
        <is>
          <t>United Kingdom</t>
        </is>
      </c>
      <c r="E702" s="3" t="inlineStr">
        <is>
          <t>England</t>
        </is>
      </c>
      <c r="F702" s="3" t="inlineStr">
        <is>
          <t>Mountain Bikes</t>
        </is>
      </c>
      <c r="G702" s="3" t="inlineStr">
        <is>
          <t>Black</t>
        </is>
      </c>
      <c r="H702" s="3" t="inlineStr">
        <is>
          <t>Mountain-200 Black, 42</t>
        </is>
      </c>
      <c r="I702" s="4" t="n">
        <v>3</v>
      </c>
      <c r="J702" s="24" t="n">
        <v>550</v>
      </c>
      <c r="K702" s="24" t="n">
        <v>850</v>
      </c>
      <c r="L702" s="25">
        <f>I702*K702</f>
        <v/>
      </c>
      <c r="M702" s="25">
        <f>I702*J702</f>
        <v/>
      </c>
      <c r="N702" s="25">
        <f>L702-M702</f>
        <v/>
      </c>
      <c r="O702" s="26">
        <f>IFERROR(N702/L702,0)</f>
        <v/>
      </c>
      <c r="P702">
        <f>YEAR(A702)</f>
        <v/>
      </c>
      <c r="Q702">
        <f>TEXT(A702,"mmm")</f>
        <v/>
      </c>
      <c r="R702">
        <f>IF(B702&lt;25,"18-24",IF(B702&lt;35,"25-34",IF(B702&lt;45,"35-44","45+")))</f>
        <v/>
      </c>
    </row>
    <row r="703">
      <c r="A703" s="23" t="n">
        <v>44521</v>
      </c>
      <c r="B703" s="3" t="n">
        <v>52</v>
      </c>
      <c r="C703" s="3" t="inlineStr">
        <is>
          <t>F</t>
        </is>
      </c>
      <c r="D703" s="3" t="inlineStr">
        <is>
          <t>Canada</t>
        </is>
      </c>
      <c r="E703" s="3" t="inlineStr">
        <is>
          <t>British Columbia</t>
        </is>
      </c>
      <c r="F703" s="3" t="inlineStr">
        <is>
          <t>Road Bikes</t>
        </is>
      </c>
      <c r="G703" s="3" t="inlineStr">
        <is>
          <t>Yellow</t>
        </is>
      </c>
      <c r="H703" s="3" t="inlineStr">
        <is>
          <t>Road-550-W Yellow, 44</t>
        </is>
      </c>
      <c r="I703" s="4" t="n">
        <v>2</v>
      </c>
      <c r="J703" s="24" t="n">
        <v>500</v>
      </c>
      <c r="K703" s="24" t="n">
        <v>800</v>
      </c>
      <c r="L703" s="25">
        <f>I703*K703</f>
        <v/>
      </c>
      <c r="M703" s="25">
        <f>I703*J703</f>
        <v/>
      </c>
      <c r="N703" s="25">
        <f>L703-M703</f>
        <v/>
      </c>
      <c r="O703" s="26">
        <f>IFERROR(N703/L703,0)</f>
        <v/>
      </c>
      <c r="P703">
        <f>YEAR(A703)</f>
        <v/>
      </c>
      <c r="Q703">
        <f>TEXT(A703,"mmm")</f>
        <v/>
      </c>
      <c r="R703">
        <f>IF(B703&lt;25,"18-24",IF(B703&lt;35,"25-34",IF(B703&lt;45,"35-44","45+")))</f>
        <v/>
      </c>
    </row>
    <row r="704">
      <c r="A704" s="23" t="n">
        <v>44542</v>
      </c>
      <c r="B704" s="3" t="n">
        <v>52</v>
      </c>
      <c r="C704" s="3" t="inlineStr">
        <is>
          <t>F</t>
        </is>
      </c>
      <c r="D704" s="3" t="inlineStr">
        <is>
          <t>United Kingdom</t>
        </is>
      </c>
      <c r="E704" s="3" t="inlineStr">
        <is>
          <t>England</t>
        </is>
      </c>
      <c r="F704" s="3" t="inlineStr">
        <is>
          <t>Road Bikes</t>
        </is>
      </c>
      <c r="G704" s="3" t="inlineStr">
        <is>
          <t>Black</t>
        </is>
      </c>
      <c r="H704" s="3" t="inlineStr">
        <is>
          <t>Road-250 Black, 58</t>
        </is>
      </c>
      <c r="I704" s="4" t="n">
        <v>3</v>
      </c>
      <c r="J704" s="24" t="n">
        <v>580</v>
      </c>
      <c r="K704" s="24" t="n">
        <v>920</v>
      </c>
      <c r="L704" s="25">
        <f>I704*K704</f>
        <v/>
      </c>
      <c r="M704" s="25">
        <f>I704*J704</f>
        <v/>
      </c>
      <c r="N704" s="25">
        <f>L704-M704</f>
        <v/>
      </c>
      <c r="O704" s="26">
        <f>IFERROR(N704/L704,0)</f>
        <v/>
      </c>
      <c r="P704">
        <f>YEAR(A704)</f>
        <v/>
      </c>
      <c r="Q704">
        <f>TEXT(A704,"mmm")</f>
        <v/>
      </c>
      <c r="R704">
        <f>IF(B704&lt;25,"18-24",IF(B704&lt;35,"25-34",IF(B704&lt;45,"35-44","45+")))</f>
        <v/>
      </c>
    </row>
    <row r="705">
      <c r="A705" s="23" t="n">
        <v>44561</v>
      </c>
      <c r="B705" s="3" t="n">
        <v>52</v>
      </c>
      <c r="C705" s="3" t="inlineStr">
        <is>
          <t>F</t>
        </is>
      </c>
      <c r="D705" s="3" t="inlineStr">
        <is>
          <t>United Kingdom</t>
        </is>
      </c>
      <c r="E705" s="3" t="inlineStr">
        <is>
          <t>England</t>
        </is>
      </c>
      <c r="F705" s="3" t="inlineStr">
        <is>
          <t>Road Bikes</t>
        </is>
      </c>
      <c r="G705" s="3" t="inlineStr">
        <is>
          <t>Black</t>
        </is>
      </c>
      <c r="H705" s="3" t="inlineStr">
        <is>
          <t>Road-250 Black, 58</t>
        </is>
      </c>
      <c r="I705" s="4" t="n">
        <v>2</v>
      </c>
      <c r="J705" s="24" t="n">
        <v>580</v>
      </c>
      <c r="K705" s="24" t="n">
        <v>920</v>
      </c>
      <c r="L705" s="25">
        <f>I705*K705</f>
        <v/>
      </c>
      <c r="M705" s="25">
        <f>I705*J705</f>
        <v/>
      </c>
      <c r="N705" s="25">
        <f>L705-M705</f>
        <v/>
      </c>
      <c r="O705" s="26">
        <f>IFERROR(N705/L705,0)</f>
        <v/>
      </c>
      <c r="P705">
        <f>YEAR(A705)</f>
        <v/>
      </c>
      <c r="Q705">
        <f>TEXT(A705,"mmm")</f>
        <v/>
      </c>
      <c r="R705">
        <f>IF(B705&lt;25,"18-24",IF(B705&lt;35,"25-34",IF(B705&lt;45,"35-44","45+")))</f>
        <v/>
      </c>
    </row>
    <row r="706">
      <c r="A706" s="23" t="n">
        <v>44470</v>
      </c>
      <c r="B706" s="3" t="n">
        <v>53</v>
      </c>
      <c r="C706" s="3" t="inlineStr">
        <is>
          <t>M</t>
        </is>
      </c>
      <c r="D706" s="3" t="inlineStr">
        <is>
          <t>Australia</t>
        </is>
      </c>
      <c r="E706" s="3" t="inlineStr">
        <is>
          <t>New South Wales</t>
        </is>
      </c>
      <c r="F706" s="3" t="inlineStr">
        <is>
          <t>Mountain Bikes</t>
        </is>
      </c>
      <c r="G706" s="3" t="inlineStr">
        <is>
          <t>Black</t>
        </is>
      </c>
      <c r="H706" s="3" t="inlineStr">
        <is>
          <t>Mountain-200 Black, 42</t>
        </is>
      </c>
      <c r="I706" s="4" t="n">
        <v>1</v>
      </c>
      <c r="J706" s="24" t="n">
        <v>550</v>
      </c>
      <c r="K706" s="24" t="n">
        <v>850</v>
      </c>
      <c r="L706" s="25">
        <f>I706*K706</f>
        <v/>
      </c>
      <c r="M706" s="25">
        <f>I706*J706</f>
        <v/>
      </c>
      <c r="N706" s="25">
        <f>L706-M706</f>
        <v/>
      </c>
      <c r="O706" s="26">
        <f>IFERROR(N706/L706,0)</f>
        <v/>
      </c>
      <c r="P706">
        <f>YEAR(A706)</f>
        <v/>
      </c>
      <c r="Q706">
        <f>TEXT(A706,"mmm")</f>
        <v/>
      </c>
      <c r="R706">
        <f>IF(B706&lt;25,"18-24",IF(B706&lt;35,"25-34",IF(B706&lt;45,"35-44","45+")))</f>
        <v/>
      </c>
    </row>
    <row r="707">
      <c r="A707" s="23" t="n">
        <v>44473</v>
      </c>
      <c r="B707" s="3" t="n">
        <v>53</v>
      </c>
      <c r="C707" s="3" t="inlineStr">
        <is>
          <t>M</t>
        </is>
      </c>
      <c r="D707" s="3" t="inlineStr">
        <is>
          <t>France</t>
        </is>
      </c>
      <c r="E707" s="3" t="inlineStr">
        <is>
          <t>Hauts de Seine</t>
        </is>
      </c>
      <c r="F707" s="3" t="inlineStr">
        <is>
          <t>Road Bikes</t>
        </is>
      </c>
      <c r="G707" s="3" t="inlineStr">
        <is>
          <t>Black</t>
        </is>
      </c>
      <c r="H707" s="3" t="inlineStr">
        <is>
          <t>Road-250 Black, 58</t>
        </is>
      </c>
      <c r="I707" s="4" t="n">
        <v>4</v>
      </c>
      <c r="J707" s="24" t="n">
        <v>580</v>
      </c>
      <c r="K707" s="24" t="n">
        <v>920</v>
      </c>
      <c r="L707" s="25">
        <f>I707*K707</f>
        <v/>
      </c>
      <c r="M707" s="25">
        <f>I707*J707</f>
        <v/>
      </c>
      <c r="N707" s="25">
        <f>L707-M707</f>
        <v/>
      </c>
      <c r="O707" s="26">
        <f>IFERROR(N707/L707,0)</f>
        <v/>
      </c>
      <c r="P707">
        <f>YEAR(A707)</f>
        <v/>
      </c>
      <c r="Q707">
        <f>TEXT(A707,"mmm")</f>
        <v/>
      </c>
      <c r="R707">
        <f>IF(B707&lt;25,"18-24",IF(B707&lt;35,"25-34",IF(B707&lt;45,"35-44","45+")))</f>
        <v/>
      </c>
    </row>
    <row r="708">
      <c r="A708" s="23" t="n">
        <v>44481</v>
      </c>
      <c r="B708" s="3" t="n">
        <v>53</v>
      </c>
      <c r="C708" s="3" t="inlineStr">
        <is>
          <t>F</t>
        </is>
      </c>
      <c r="D708" s="3" t="inlineStr">
        <is>
          <t>United Kingdom</t>
        </is>
      </c>
      <c r="E708" s="3" t="inlineStr">
        <is>
          <t>England</t>
        </is>
      </c>
      <c r="F708" s="3" t="inlineStr">
        <is>
          <t>Road Bikes</t>
        </is>
      </c>
      <c r="G708" s="3" t="inlineStr">
        <is>
          <t>Black</t>
        </is>
      </c>
      <c r="H708" s="3" t="inlineStr">
        <is>
          <t>Road-250 Black, 52</t>
        </is>
      </c>
      <c r="I708" s="4" t="n">
        <v>1</v>
      </c>
      <c r="J708" s="24" t="n">
        <v>580</v>
      </c>
      <c r="K708" s="24" t="n">
        <v>920</v>
      </c>
      <c r="L708" s="25">
        <f>I708*K708</f>
        <v/>
      </c>
      <c r="M708" s="25">
        <f>I708*J708</f>
        <v/>
      </c>
      <c r="N708" s="25">
        <f>L708-M708</f>
        <v/>
      </c>
      <c r="O708" s="26">
        <f>IFERROR(N708/L708,0)</f>
        <v/>
      </c>
      <c r="P708">
        <f>YEAR(A708)</f>
        <v/>
      </c>
      <c r="Q708">
        <f>TEXT(A708,"mmm")</f>
        <v/>
      </c>
      <c r="R708">
        <f>IF(B708&lt;25,"18-24",IF(B708&lt;35,"25-34",IF(B708&lt;45,"35-44","45+")))</f>
        <v/>
      </c>
    </row>
    <row r="709">
      <c r="A709" s="23" t="n">
        <v>44499</v>
      </c>
      <c r="B709" s="3" t="n">
        <v>53</v>
      </c>
      <c r="C709" s="3" t="inlineStr">
        <is>
          <t>M</t>
        </is>
      </c>
      <c r="D709" s="3" t="inlineStr">
        <is>
          <t>France</t>
        </is>
      </c>
      <c r="E709" s="3" t="inlineStr">
        <is>
          <t>Seine (Paris)</t>
        </is>
      </c>
      <c r="F709" s="3" t="inlineStr">
        <is>
          <t>Road Bikes</t>
        </is>
      </c>
      <c r="G709" s="3" t="inlineStr">
        <is>
          <t>Red</t>
        </is>
      </c>
      <c r="H709" s="3" t="inlineStr">
        <is>
          <t>Road-150 Red, 48</t>
        </is>
      </c>
      <c r="I709" s="4" t="n">
        <v>3</v>
      </c>
      <c r="J709" s="24" t="n">
        <v>900</v>
      </c>
      <c r="K709" s="24" t="n">
        <v>1400</v>
      </c>
      <c r="L709" s="25">
        <f>I709*K709</f>
        <v/>
      </c>
      <c r="M709" s="25">
        <f>I709*J709</f>
        <v/>
      </c>
      <c r="N709" s="25">
        <f>L709-M709</f>
        <v/>
      </c>
      <c r="O709" s="26">
        <f>IFERROR(N709/L709,0)</f>
        <v/>
      </c>
      <c r="P709">
        <f>YEAR(A709)</f>
        <v/>
      </c>
      <c r="Q709">
        <f>TEXT(A709,"mmm")</f>
        <v/>
      </c>
      <c r="R709">
        <f>IF(B709&lt;25,"18-24",IF(B709&lt;35,"25-34",IF(B709&lt;45,"35-44","45+")))</f>
        <v/>
      </c>
    </row>
    <row r="710">
      <c r="A710" s="23" t="n">
        <v>44521</v>
      </c>
      <c r="B710" s="3" t="n">
        <v>53</v>
      </c>
      <c r="C710" s="3" t="inlineStr">
        <is>
          <t>M</t>
        </is>
      </c>
      <c r="D710" s="3" t="inlineStr">
        <is>
          <t>United Kingdom</t>
        </is>
      </c>
      <c r="E710" s="3" t="inlineStr">
        <is>
          <t>England</t>
        </is>
      </c>
      <c r="F710" s="3" t="inlineStr">
        <is>
          <t>Mountain Bikes</t>
        </is>
      </c>
      <c r="G710" s="3" t="inlineStr">
        <is>
          <t>Silver</t>
        </is>
      </c>
      <c r="H710" s="3" t="inlineStr">
        <is>
          <t>Mountain-200 Silver, 46</t>
        </is>
      </c>
      <c r="I710" s="4" t="n">
        <v>2</v>
      </c>
      <c r="J710" s="24" t="n">
        <v>550</v>
      </c>
      <c r="K710" s="24" t="n">
        <v>850</v>
      </c>
      <c r="L710" s="25">
        <f>I710*K710</f>
        <v/>
      </c>
      <c r="M710" s="25">
        <f>I710*J710</f>
        <v/>
      </c>
      <c r="N710" s="25">
        <f>L710-M710</f>
        <v/>
      </c>
      <c r="O710" s="26">
        <f>IFERROR(N710/L710,0)</f>
        <v/>
      </c>
      <c r="P710">
        <f>YEAR(A710)</f>
        <v/>
      </c>
      <c r="Q710">
        <f>TEXT(A710,"mmm")</f>
        <v/>
      </c>
      <c r="R710">
        <f>IF(B710&lt;25,"18-24",IF(B710&lt;35,"25-34",IF(B710&lt;45,"35-44","45+")))</f>
        <v/>
      </c>
    </row>
    <row r="711">
      <c r="A711" s="23" t="n">
        <v>44473</v>
      </c>
      <c r="B711" s="3" t="n">
        <v>54</v>
      </c>
      <c r="C711" s="3" t="inlineStr">
        <is>
          <t>F</t>
        </is>
      </c>
      <c r="D711" s="3" t="inlineStr">
        <is>
          <t>United Kingdom</t>
        </is>
      </c>
      <c r="E711" s="3" t="inlineStr">
        <is>
          <t>England</t>
        </is>
      </c>
      <c r="F711" s="3" t="inlineStr">
        <is>
          <t>Road Bikes</t>
        </is>
      </c>
      <c r="G711" s="3" t="inlineStr">
        <is>
          <t>Black</t>
        </is>
      </c>
      <c r="H711" s="3" t="inlineStr">
        <is>
          <t>Road-750 Black, 52</t>
        </is>
      </c>
      <c r="I711" s="4" t="n">
        <v>1</v>
      </c>
      <c r="J711" s="24" t="n">
        <v>700</v>
      </c>
      <c r="K711" s="24" t="n">
        <v>1100</v>
      </c>
      <c r="L711" s="25">
        <f>I711*K711</f>
        <v/>
      </c>
      <c r="M711" s="25">
        <f>I711*J711</f>
        <v/>
      </c>
      <c r="N711" s="25">
        <f>L711-M711</f>
        <v/>
      </c>
      <c r="O711" s="26">
        <f>IFERROR(N711/L711,0)</f>
        <v/>
      </c>
      <c r="P711">
        <f>YEAR(A711)</f>
        <v/>
      </c>
      <c r="Q711">
        <f>TEXT(A711,"mmm")</f>
        <v/>
      </c>
      <c r="R711">
        <f>IF(B711&lt;25,"18-24",IF(B711&lt;35,"25-34",IF(B711&lt;45,"35-44","45+")))</f>
        <v/>
      </c>
    </row>
    <row r="712">
      <c r="A712" s="23" t="n">
        <v>44497</v>
      </c>
      <c r="B712" s="3" t="n">
        <v>54</v>
      </c>
      <c r="C712" s="3" t="inlineStr">
        <is>
          <t>F</t>
        </is>
      </c>
      <c r="D712" s="3" t="inlineStr">
        <is>
          <t>United Kingdom</t>
        </is>
      </c>
      <c r="E712" s="3" t="inlineStr">
        <is>
          <t>England</t>
        </is>
      </c>
      <c r="F712" s="3" t="inlineStr">
        <is>
          <t>Road Bikes</t>
        </is>
      </c>
      <c r="G712" s="3" t="inlineStr">
        <is>
          <t>Black</t>
        </is>
      </c>
      <c r="H712" s="3" t="inlineStr">
        <is>
          <t>Road-750 Black, 52</t>
        </is>
      </c>
      <c r="I712" s="4" t="n">
        <v>4</v>
      </c>
      <c r="J712" s="24" t="n">
        <v>700</v>
      </c>
      <c r="K712" s="24" t="n">
        <v>1100</v>
      </c>
      <c r="L712" s="25">
        <f>I712*K712</f>
        <v/>
      </c>
      <c r="M712" s="25">
        <f>I712*J712</f>
        <v/>
      </c>
      <c r="N712" s="25">
        <f>L712-M712</f>
        <v/>
      </c>
      <c r="O712" s="26">
        <f>IFERROR(N712/L712,0)</f>
        <v/>
      </c>
      <c r="P712">
        <f>YEAR(A712)</f>
        <v/>
      </c>
      <c r="Q712">
        <f>TEXT(A712,"mmm")</f>
        <v/>
      </c>
      <c r="R712">
        <f>IF(B712&lt;25,"18-24",IF(B712&lt;35,"25-34",IF(B712&lt;45,"35-44","45+")))</f>
        <v/>
      </c>
    </row>
    <row r="713">
      <c r="A713" s="23" t="n">
        <v>44497</v>
      </c>
      <c r="B713" s="3" t="n">
        <v>54</v>
      </c>
      <c r="C713" s="3" t="inlineStr">
        <is>
          <t>M</t>
        </is>
      </c>
      <c r="D713" s="3" t="inlineStr">
        <is>
          <t>Australia</t>
        </is>
      </c>
      <c r="E713" s="3" t="inlineStr">
        <is>
          <t>Queensland</t>
        </is>
      </c>
      <c r="F713" s="3" t="inlineStr">
        <is>
          <t>Road Bikes</t>
        </is>
      </c>
      <c r="G713" s="3" t="inlineStr">
        <is>
          <t>Yellow</t>
        </is>
      </c>
      <c r="H713" s="3" t="inlineStr">
        <is>
          <t>Road-550-W Yellow, 48</t>
        </is>
      </c>
      <c r="I713" s="4" t="n">
        <v>2</v>
      </c>
      <c r="J713" s="24" t="n">
        <v>500</v>
      </c>
      <c r="K713" s="24" t="n">
        <v>800</v>
      </c>
      <c r="L713" s="25">
        <f>I713*K713</f>
        <v/>
      </c>
      <c r="M713" s="25">
        <f>I713*J713</f>
        <v/>
      </c>
      <c r="N713" s="25">
        <f>L713-M713</f>
        <v/>
      </c>
      <c r="O713" s="26">
        <f>IFERROR(N713/L713,0)</f>
        <v/>
      </c>
      <c r="P713">
        <f>YEAR(A713)</f>
        <v/>
      </c>
      <c r="Q713">
        <f>TEXT(A713,"mmm")</f>
        <v/>
      </c>
      <c r="R713">
        <f>IF(B713&lt;25,"18-24",IF(B713&lt;35,"25-34",IF(B713&lt;45,"35-44","45+")))</f>
        <v/>
      </c>
    </row>
    <row r="714">
      <c r="A714" s="23" t="n">
        <v>44499</v>
      </c>
      <c r="B714" s="3" t="n">
        <v>54</v>
      </c>
      <c r="C714" s="3" t="inlineStr">
        <is>
          <t>M</t>
        </is>
      </c>
      <c r="D714" s="3" t="inlineStr">
        <is>
          <t>Australia</t>
        </is>
      </c>
      <c r="E714" s="3" t="inlineStr">
        <is>
          <t>New South Wales</t>
        </is>
      </c>
      <c r="F714" s="3" t="inlineStr">
        <is>
          <t>Road Bikes</t>
        </is>
      </c>
      <c r="G714" s="3" t="inlineStr">
        <is>
          <t>Black</t>
        </is>
      </c>
      <c r="H714" s="3" t="inlineStr">
        <is>
          <t>Road-650 Black, 52</t>
        </is>
      </c>
      <c r="I714" s="4" t="n">
        <v>1</v>
      </c>
      <c r="J714" s="24" t="n">
        <v>620</v>
      </c>
      <c r="K714" s="24" t="n">
        <v>980</v>
      </c>
      <c r="L714" s="25">
        <f>I714*K714</f>
        <v/>
      </c>
      <c r="M714" s="25">
        <f>I714*J714</f>
        <v/>
      </c>
      <c r="N714" s="25">
        <f>L714-M714</f>
        <v/>
      </c>
      <c r="O714" s="26">
        <f>IFERROR(N714/L714,0)</f>
        <v/>
      </c>
      <c r="P714">
        <f>YEAR(A714)</f>
        <v/>
      </c>
      <c r="Q714">
        <f>TEXT(A714,"mmm")</f>
        <v/>
      </c>
      <c r="R714">
        <f>IF(B714&lt;25,"18-24",IF(B714&lt;35,"25-34",IF(B714&lt;45,"35-44","45+")))</f>
        <v/>
      </c>
    </row>
    <row r="715">
      <c r="A715" s="23" t="n">
        <v>44533</v>
      </c>
      <c r="B715" s="3" t="n">
        <v>54</v>
      </c>
      <c r="C715" s="3" t="inlineStr">
        <is>
          <t>M</t>
        </is>
      </c>
      <c r="D715" s="3" t="inlineStr">
        <is>
          <t>United States</t>
        </is>
      </c>
      <c r="E715" s="3" t="inlineStr">
        <is>
          <t>California</t>
        </is>
      </c>
      <c r="F715" s="3" t="inlineStr">
        <is>
          <t>Road Bikes</t>
        </is>
      </c>
      <c r="G715" s="3" t="inlineStr">
        <is>
          <t>Yellow</t>
        </is>
      </c>
      <c r="H715" s="3" t="inlineStr">
        <is>
          <t>Road-550-W Yellow, 44</t>
        </is>
      </c>
      <c r="I715" s="4" t="n">
        <v>1</v>
      </c>
      <c r="J715" s="24" t="n">
        <v>500</v>
      </c>
      <c r="K715" s="24" t="n">
        <v>800</v>
      </c>
      <c r="L715" s="25">
        <f>I715*K715</f>
        <v/>
      </c>
      <c r="M715" s="25">
        <f>I715*J715</f>
        <v/>
      </c>
      <c r="N715" s="25">
        <f>L715-M715</f>
        <v/>
      </c>
      <c r="O715" s="26">
        <f>IFERROR(N715/L715,0)</f>
        <v/>
      </c>
      <c r="P715">
        <f>YEAR(A715)</f>
        <v/>
      </c>
      <c r="Q715">
        <f>TEXT(A715,"mmm")</f>
        <v/>
      </c>
      <c r="R715">
        <f>IF(B715&lt;25,"18-24",IF(B715&lt;35,"25-34",IF(B715&lt;45,"35-44","45+")))</f>
        <v/>
      </c>
    </row>
    <row r="716">
      <c r="A716" s="23" t="n">
        <v>44541</v>
      </c>
      <c r="B716" s="3" t="n">
        <v>54</v>
      </c>
      <c r="C716" s="3" t="inlineStr">
        <is>
          <t>M</t>
        </is>
      </c>
      <c r="D716" s="3" t="inlineStr">
        <is>
          <t>United States</t>
        </is>
      </c>
      <c r="E716" s="3" t="inlineStr">
        <is>
          <t>Washington</t>
        </is>
      </c>
      <c r="F716" s="3" t="inlineStr">
        <is>
          <t>Road Bikes</t>
        </is>
      </c>
      <c r="G716" s="3" t="inlineStr">
        <is>
          <t>Yellow</t>
        </is>
      </c>
      <c r="H716" s="3" t="inlineStr">
        <is>
          <t>Road-550-W Yellow, 40</t>
        </is>
      </c>
      <c r="I716" s="4" t="n">
        <v>1</v>
      </c>
      <c r="J716" s="24" t="n">
        <v>500</v>
      </c>
      <c r="K716" s="24" t="n">
        <v>800</v>
      </c>
      <c r="L716" s="25">
        <f>I716*K716</f>
        <v/>
      </c>
      <c r="M716" s="25">
        <f>I716*J716</f>
        <v/>
      </c>
      <c r="N716" s="25">
        <f>L716-M716</f>
        <v/>
      </c>
      <c r="O716" s="26">
        <f>IFERROR(N716/L716,0)</f>
        <v/>
      </c>
      <c r="P716">
        <f>YEAR(A716)</f>
        <v/>
      </c>
      <c r="Q716">
        <f>TEXT(A716,"mmm")</f>
        <v/>
      </c>
      <c r="R716">
        <f>IF(B716&lt;25,"18-24",IF(B716&lt;35,"25-34",IF(B716&lt;45,"35-44","45+")))</f>
        <v/>
      </c>
    </row>
    <row r="717">
      <c r="A717" s="23" t="n">
        <v>44543</v>
      </c>
      <c r="B717" s="3" t="n">
        <v>54</v>
      </c>
      <c r="C717" s="3" t="inlineStr">
        <is>
          <t>F</t>
        </is>
      </c>
      <c r="D717" s="3" t="inlineStr">
        <is>
          <t>United States</t>
        </is>
      </c>
      <c r="E717" s="3" t="inlineStr">
        <is>
          <t>Washington</t>
        </is>
      </c>
      <c r="F717" s="3" t="inlineStr">
        <is>
          <t>Road Bikes</t>
        </is>
      </c>
      <c r="G717" s="3" t="inlineStr">
        <is>
          <t>Red</t>
        </is>
      </c>
      <c r="H717" s="3" t="inlineStr">
        <is>
          <t>Road-650 Red, 58</t>
        </is>
      </c>
      <c r="I717" s="4" t="n">
        <v>1</v>
      </c>
      <c r="J717" s="24" t="n">
        <v>620</v>
      </c>
      <c r="K717" s="24" t="n">
        <v>980</v>
      </c>
      <c r="L717" s="25">
        <f>I717*K717</f>
        <v/>
      </c>
      <c r="M717" s="25">
        <f>I717*J717</f>
        <v/>
      </c>
      <c r="N717" s="25">
        <f>L717-M717</f>
        <v/>
      </c>
      <c r="O717" s="26">
        <f>IFERROR(N717/L717,0)</f>
        <v/>
      </c>
      <c r="P717">
        <f>YEAR(A717)</f>
        <v/>
      </c>
      <c r="Q717">
        <f>TEXT(A717,"mmm")</f>
        <v/>
      </c>
      <c r="R717">
        <f>IF(B717&lt;25,"18-24",IF(B717&lt;35,"25-34",IF(B717&lt;45,"35-44","45+")))</f>
        <v/>
      </c>
    </row>
    <row r="718">
      <c r="A718" s="23" t="n">
        <v>44556</v>
      </c>
      <c r="B718" s="3" t="n">
        <v>54</v>
      </c>
      <c r="C718" s="3" t="inlineStr">
        <is>
          <t>M</t>
        </is>
      </c>
      <c r="D718" s="3" t="inlineStr">
        <is>
          <t>Australia</t>
        </is>
      </c>
      <c r="E718" s="3" t="inlineStr">
        <is>
          <t>Victoria</t>
        </is>
      </c>
      <c r="F718" s="3" t="inlineStr">
        <is>
          <t>Mountain Bikes</t>
        </is>
      </c>
      <c r="G718" s="3" t="inlineStr">
        <is>
          <t>Black</t>
        </is>
      </c>
      <c r="H718" s="3" t="inlineStr">
        <is>
          <t>Mountain-200 Black, 38</t>
        </is>
      </c>
      <c r="I718" s="4" t="n">
        <v>2</v>
      </c>
      <c r="J718" s="24" t="n">
        <v>550</v>
      </c>
      <c r="K718" s="24" t="n">
        <v>850</v>
      </c>
      <c r="L718" s="25">
        <f>I718*K718</f>
        <v/>
      </c>
      <c r="M718" s="25">
        <f>I718*J718</f>
        <v/>
      </c>
      <c r="N718" s="25">
        <f>L718-M718</f>
        <v/>
      </c>
      <c r="O718" s="26">
        <f>IFERROR(N718/L718,0)</f>
        <v/>
      </c>
      <c r="P718">
        <f>YEAR(A718)</f>
        <v/>
      </c>
      <c r="Q718">
        <f>TEXT(A718,"mmm")</f>
        <v/>
      </c>
      <c r="R718">
        <f>IF(B718&lt;25,"18-24",IF(B718&lt;35,"25-34",IF(B718&lt;45,"35-44","45+")))</f>
        <v/>
      </c>
    </row>
    <row r="719">
      <c r="A719" s="23" t="n">
        <v>44477</v>
      </c>
      <c r="B719" s="3" t="n">
        <v>55</v>
      </c>
      <c r="C719" s="3" t="inlineStr">
        <is>
          <t>M</t>
        </is>
      </c>
      <c r="D719" s="3" t="inlineStr">
        <is>
          <t>Australia</t>
        </is>
      </c>
      <c r="E719" s="3" t="inlineStr">
        <is>
          <t>Victoria</t>
        </is>
      </c>
      <c r="F719" s="3" t="inlineStr">
        <is>
          <t>Road Bikes</t>
        </is>
      </c>
      <c r="G719" s="3" t="inlineStr">
        <is>
          <t>Yellow</t>
        </is>
      </c>
      <c r="H719" s="3" t="inlineStr">
        <is>
          <t>Road-350-W Yellow, 48</t>
        </is>
      </c>
      <c r="I719" s="4" t="n">
        <v>4</v>
      </c>
      <c r="J719" s="24" t="n">
        <v>530</v>
      </c>
      <c r="K719" s="24" t="n">
        <v>840</v>
      </c>
      <c r="L719" s="25">
        <f>I719*K719</f>
        <v/>
      </c>
      <c r="M719" s="25">
        <f>I719*J719</f>
        <v/>
      </c>
      <c r="N719" s="25">
        <f>L719-M719</f>
        <v/>
      </c>
      <c r="O719" s="26">
        <f>IFERROR(N719/L719,0)</f>
        <v/>
      </c>
      <c r="P719">
        <f>YEAR(A719)</f>
        <v/>
      </c>
      <c r="Q719">
        <f>TEXT(A719,"mmm")</f>
        <v/>
      </c>
      <c r="R719">
        <f>IF(B719&lt;25,"18-24",IF(B719&lt;35,"25-34",IF(B719&lt;45,"35-44","45+")))</f>
        <v/>
      </c>
    </row>
    <row r="720">
      <c r="A720" s="23" t="n">
        <v>44482</v>
      </c>
      <c r="B720" s="3" t="n">
        <v>55</v>
      </c>
      <c r="C720" s="3" t="inlineStr">
        <is>
          <t>M</t>
        </is>
      </c>
      <c r="D720" s="3" t="inlineStr">
        <is>
          <t>Australia</t>
        </is>
      </c>
      <c r="E720" s="3" t="inlineStr">
        <is>
          <t>New South Wales</t>
        </is>
      </c>
      <c r="F720" s="3" t="inlineStr">
        <is>
          <t>Road Bikes</t>
        </is>
      </c>
      <c r="G720" s="3" t="inlineStr">
        <is>
          <t>Black</t>
        </is>
      </c>
      <c r="H720" s="3" t="inlineStr">
        <is>
          <t>Road-750 Black, 44</t>
        </is>
      </c>
      <c r="I720" s="4" t="n">
        <v>1</v>
      </c>
      <c r="J720" s="24" t="n">
        <v>700</v>
      </c>
      <c r="K720" s="24" t="n">
        <v>1100</v>
      </c>
      <c r="L720" s="25">
        <f>I720*K720</f>
        <v/>
      </c>
      <c r="M720" s="25">
        <f>I720*J720</f>
        <v/>
      </c>
      <c r="N720" s="25">
        <f>L720-M720</f>
        <v/>
      </c>
      <c r="O720" s="26">
        <f>IFERROR(N720/L720,0)</f>
        <v/>
      </c>
      <c r="P720">
        <f>YEAR(A720)</f>
        <v/>
      </c>
      <c r="Q720">
        <f>TEXT(A720,"mmm")</f>
        <v/>
      </c>
      <c r="R720">
        <f>IF(B720&lt;25,"18-24",IF(B720&lt;35,"25-34",IF(B720&lt;45,"35-44","45+")))</f>
        <v/>
      </c>
    </row>
    <row r="721">
      <c r="A721" s="23" t="n">
        <v>44544</v>
      </c>
      <c r="B721" s="3" t="n">
        <v>55</v>
      </c>
      <c r="C721" s="3" t="inlineStr">
        <is>
          <t>M</t>
        </is>
      </c>
      <c r="D721" s="3" t="inlineStr">
        <is>
          <t>United States</t>
        </is>
      </c>
      <c r="E721" s="3" t="inlineStr">
        <is>
          <t>Washington</t>
        </is>
      </c>
      <c r="F721" s="3" t="inlineStr">
        <is>
          <t>Road Bikes</t>
        </is>
      </c>
      <c r="G721" s="3" t="inlineStr">
        <is>
          <t>Yellow</t>
        </is>
      </c>
      <c r="H721" s="3" t="inlineStr">
        <is>
          <t>Road-550-W Yellow, 42</t>
        </is>
      </c>
      <c r="I721" s="4" t="n">
        <v>1</v>
      </c>
      <c r="J721" s="24" t="n">
        <v>500</v>
      </c>
      <c r="K721" s="24" t="n">
        <v>800</v>
      </c>
      <c r="L721" s="25">
        <f>I721*K721</f>
        <v/>
      </c>
      <c r="M721" s="25">
        <f>I721*J721</f>
        <v/>
      </c>
      <c r="N721" s="25">
        <f>L721-M721</f>
        <v/>
      </c>
      <c r="O721" s="26">
        <f>IFERROR(N721/L721,0)</f>
        <v/>
      </c>
      <c r="P721">
        <f>YEAR(A721)</f>
        <v/>
      </c>
      <c r="Q721">
        <f>TEXT(A721,"mmm")</f>
        <v/>
      </c>
      <c r="R721">
        <f>IF(B721&lt;25,"18-24",IF(B721&lt;35,"25-34",IF(B721&lt;45,"35-44","45+")))</f>
        <v/>
      </c>
    </row>
    <row r="722">
      <c r="A722" s="23" t="n">
        <v>44488</v>
      </c>
      <c r="B722" s="3" t="n">
        <v>56</v>
      </c>
      <c r="C722" s="3" t="inlineStr">
        <is>
          <t>M</t>
        </is>
      </c>
      <c r="D722" s="3" t="inlineStr">
        <is>
          <t>Australia</t>
        </is>
      </c>
      <c r="E722" s="3" t="inlineStr">
        <is>
          <t>New South Wales</t>
        </is>
      </c>
      <c r="F722" s="3" t="inlineStr">
        <is>
          <t>Road Bikes</t>
        </is>
      </c>
      <c r="G722" s="3" t="inlineStr">
        <is>
          <t>Yellow</t>
        </is>
      </c>
      <c r="H722" s="3" t="inlineStr">
        <is>
          <t>Road-550-W Yellow, 44</t>
        </is>
      </c>
      <c r="I722" s="4" t="n">
        <v>3</v>
      </c>
      <c r="J722" s="24" t="n">
        <v>500</v>
      </c>
      <c r="K722" s="24" t="n">
        <v>800</v>
      </c>
      <c r="L722" s="25">
        <f>I722*K722</f>
        <v/>
      </c>
      <c r="M722" s="25">
        <f>I722*J722</f>
        <v/>
      </c>
      <c r="N722" s="25">
        <f>L722-M722</f>
        <v/>
      </c>
      <c r="O722" s="26">
        <f>IFERROR(N722/L722,0)</f>
        <v/>
      </c>
      <c r="P722">
        <f>YEAR(A722)</f>
        <v/>
      </c>
      <c r="Q722">
        <f>TEXT(A722,"mmm")</f>
        <v/>
      </c>
      <c r="R722">
        <f>IF(B722&lt;25,"18-24",IF(B722&lt;35,"25-34",IF(B722&lt;45,"35-44","45+")))</f>
        <v/>
      </c>
    </row>
    <row r="723">
      <c r="A723" s="23" t="n">
        <v>44501</v>
      </c>
      <c r="B723" s="3" t="n">
        <v>56</v>
      </c>
      <c r="C723" s="3" t="inlineStr">
        <is>
          <t>F</t>
        </is>
      </c>
      <c r="D723" s="3" t="inlineStr">
        <is>
          <t>United States</t>
        </is>
      </c>
      <c r="E723" s="3" t="inlineStr">
        <is>
          <t>Oregon</t>
        </is>
      </c>
      <c r="F723" s="3" t="inlineStr">
        <is>
          <t>Road Bikes</t>
        </is>
      </c>
      <c r="G723" s="3" t="inlineStr">
        <is>
          <t>Black</t>
        </is>
      </c>
      <c r="H723" s="3" t="inlineStr">
        <is>
          <t>Road-250 Black, 52</t>
        </is>
      </c>
      <c r="I723" s="4" t="n">
        <v>1</v>
      </c>
      <c r="J723" s="24" t="n">
        <v>580</v>
      </c>
      <c r="K723" s="24" t="n">
        <v>920</v>
      </c>
      <c r="L723" s="25">
        <f>I723*K723</f>
        <v/>
      </c>
      <c r="M723" s="25">
        <f>I723*J723</f>
        <v/>
      </c>
      <c r="N723" s="25">
        <f>L723-M723</f>
        <v/>
      </c>
      <c r="O723" s="26">
        <f>IFERROR(N723/L723,0)</f>
        <v/>
      </c>
      <c r="P723">
        <f>YEAR(A723)</f>
        <v/>
      </c>
      <c r="Q723">
        <f>TEXT(A723,"mmm")</f>
        <v/>
      </c>
      <c r="R723">
        <f>IF(B723&lt;25,"18-24",IF(B723&lt;35,"25-34",IF(B723&lt;45,"35-44","45+")))</f>
        <v/>
      </c>
    </row>
    <row r="724">
      <c r="A724" s="23" t="n">
        <v>44507</v>
      </c>
      <c r="B724" s="3" t="n">
        <v>56</v>
      </c>
      <c r="C724" s="3" t="inlineStr">
        <is>
          <t>F</t>
        </is>
      </c>
      <c r="D724" s="3" t="inlineStr">
        <is>
          <t>United States</t>
        </is>
      </c>
      <c r="E724" s="3" t="inlineStr">
        <is>
          <t>California</t>
        </is>
      </c>
      <c r="F724" s="3" t="inlineStr">
        <is>
          <t>Road Bikes</t>
        </is>
      </c>
      <c r="G724" s="3" t="inlineStr">
        <is>
          <t>Yellow</t>
        </is>
      </c>
      <c r="H724" s="3" t="inlineStr">
        <is>
          <t>Road-550-W Yellow, 44</t>
        </is>
      </c>
      <c r="I724" s="4" t="n">
        <v>4</v>
      </c>
      <c r="J724" s="24" t="n">
        <v>500</v>
      </c>
      <c r="K724" s="24" t="n">
        <v>800</v>
      </c>
      <c r="L724" s="25">
        <f>I724*K724</f>
        <v/>
      </c>
      <c r="M724" s="25">
        <f>I724*J724</f>
        <v/>
      </c>
      <c r="N724" s="25">
        <f>L724-M724</f>
        <v/>
      </c>
      <c r="O724" s="26">
        <f>IFERROR(N724/L724,0)</f>
        <v/>
      </c>
      <c r="P724">
        <f>YEAR(A724)</f>
        <v/>
      </c>
      <c r="Q724">
        <f>TEXT(A724,"mmm")</f>
        <v/>
      </c>
      <c r="R724">
        <f>IF(B724&lt;25,"18-24",IF(B724&lt;35,"25-34",IF(B724&lt;45,"35-44","45+")))</f>
        <v/>
      </c>
    </row>
    <row r="725">
      <c r="A725" s="23" t="n">
        <v>44514</v>
      </c>
      <c r="B725" s="3" t="n">
        <v>56</v>
      </c>
      <c r="C725" s="3" t="inlineStr">
        <is>
          <t>M</t>
        </is>
      </c>
      <c r="D725" s="3" t="inlineStr">
        <is>
          <t>United States</t>
        </is>
      </c>
      <c r="E725" s="3" t="inlineStr">
        <is>
          <t>Washington</t>
        </is>
      </c>
      <c r="F725" s="3" t="inlineStr">
        <is>
          <t>Road Bikes</t>
        </is>
      </c>
      <c r="G725" s="3" t="inlineStr">
        <is>
          <t>Red</t>
        </is>
      </c>
      <c r="H725" s="3" t="inlineStr">
        <is>
          <t>Road-250 Red, 52</t>
        </is>
      </c>
      <c r="I725" s="4" t="n">
        <v>1</v>
      </c>
      <c r="J725" s="24" t="n">
        <v>580</v>
      </c>
      <c r="K725" s="24" t="n">
        <v>920</v>
      </c>
      <c r="L725" s="25">
        <f>I725*K725</f>
        <v/>
      </c>
      <c r="M725" s="25">
        <f>I725*J725</f>
        <v/>
      </c>
      <c r="N725" s="25">
        <f>L725-M725</f>
        <v/>
      </c>
      <c r="O725" s="26">
        <f>IFERROR(N725/L725,0)</f>
        <v/>
      </c>
      <c r="P725">
        <f>YEAR(A725)</f>
        <v/>
      </c>
      <c r="Q725">
        <f>TEXT(A725,"mmm")</f>
        <v/>
      </c>
      <c r="R725">
        <f>IF(B725&lt;25,"18-24",IF(B725&lt;35,"25-34",IF(B725&lt;45,"35-44","45+")))</f>
        <v/>
      </c>
    </row>
    <row r="726">
      <c r="A726" s="23" t="n">
        <v>44514</v>
      </c>
      <c r="B726" s="3" t="n">
        <v>56</v>
      </c>
      <c r="C726" s="3" t="inlineStr">
        <is>
          <t>M</t>
        </is>
      </c>
      <c r="D726" s="3" t="inlineStr">
        <is>
          <t>United States</t>
        </is>
      </c>
      <c r="E726" s="3" t="inlineStr">
        <is>
          <t>Washington</t>
        </is>
      </c>
      <c r="F726" s="3" t="inlineStr">
        <is>
          <t>Road Bikes</t>
        </is>
      </c>
      <c r="G726" s="3" t="inlineStr">
        <is>
          <t>Red</t>
        </is>
      </c>
      <c r="H726" s="3" t="inlineStr">
        <is>
          <t>Road-250 Red, 52</t>
        </is>
      </c>
      <c r="I726" s="4" t="n">
        <v>1</v>
      </c>
      <c r="J726" s="24" t="n">
        <v>580</v>
      </c>
      <c r="K726" s="24" t="n">
        <v>920</v>
      </c>
      <c r="L726" s="25">
        <f>I726*K726</f>
        <v/>
      </c>
      <c r="M726" s="25">
        <f>I726*J726</f>
        <v/>
      </c>
      <c r="N726" s="25">
        <f>L726-M726</f>
        <v/>
      </c>
      <c r="O726" s="26">
        <f>IFERROR(N726/L726,0)</f>
        <v/>
      </c>
      <c r="P726">
        <f>YEAR(A726)</f>
        <v/>
      </c>
      <c r="Q726">
        <f>TEXT(A726,"mmm")</f>
        <v/>
      </c>
      <c r="R726">
        <f>IF(B726&lt;25,"18-24",IF(B726&lt;35,"25-34",IF(B726&lt;45,"35-44","45+")))</f>
        <v/>
      </c>
    </row>
    <row r="727">
      <c r="A727" s="23" t="n">
        <v>44527</v>
      </c>
      <c r="B727" s="3" t="n">
        <v>56</v>
      </c>
      <c r="C727" s="3" t="inlineStr">
        <is>
          <t>F</t>
        </is>
      </c>
      <c r="D727" s="3" t="inlineStr">
        <is>
          <t>United States</t>
        </is>
      </c>
      <c r="E727" s="3" t="inlineStr">
        <is>
          <t>Washington</t>
        </is>
      </c>
      <c r="F727" s="3" t="inlineStr">
        <is>
          <t>Road Bikes</t>
        </is>
      </c>
      <c r="G727" s="3" t="inlineStr">
        <is>
          <t>Black</t>
        </is>
      </c>
      <c r="H727" s="3" t="inlineStr">
        <is>
          <t>Road-750 Black, 52</t>
        </is>
      </c>
      <c r="I727" s="4" t="n">
        <v>3</v>
      </c>
      <c r="J727" s="24" t="n">
        <v>700</v>
      </c>
      <c r="K727" s="24" t="n">
        <v>1100</v>
      </c>
      <c r="L727" s="25">
        <f>I727*K727</f>
        <v/>
      </c>
      <c r="M727" s="25">
        <f>I727*J727</f>
        <v/>
      </c>
      <c r="N727" s="25">
        <f>L727-M727</f>
        <v/>
      </c>
      <c r="O727" s="26">
        <f>IFERROR(N727/L727,0)</f>
        <v/>
      </c>
      <c r="P727">
        <f>YEAR(A727)</f>
        <v/>
      </c>
      <c r="Q727">
        <f>TEXT(A727,"mmm")</f>
        <v/>
      </c>
      <c r="R727">
        <f>IF(B727&lt;25,"18-24",IF(B727&lt;35,"25-34",IF(B727&lt;45,"35-44","45+")))</f>
        <v/>
      </c>
    </row>
    <row r="728">
      <c r="A728" s="23" t="n">
        <v>44541</v>
      </c>
      <c r="B728" s="3" t="n">
        <v>56</v>
      </c>
      <c r="C728" s="3" t="inlineStr">
        <is>
          <t>M</t>
        </is>
      </c>
      <c r="D728" s="3" t="inlineStr">
        <is>
          <t>United States</t>
        </is>
      </c>
      <c r="E728" s="3" t="inlineStr">
        <is>
          <t>California</t>
        </is>
      </c>
      <c r="F728" s="3" t="inlineStr">
        <is>
          <t>Road Bikes</t>
        </is>
      </c>
      <c r="G728" s="3" t="inlineStr">
        <is>
          <t>Red</t>
        </is>
      </c>
      <c r="H728" s="3" t="inlineStr">
        <is>
          <t>Road-250 Red, 58</t>
        </is>
      </c>
      <c r="I728" s="4" t="n">
        <v>4</v>
      </c>
      <c r="J728" s="24" t="n">
        <v>580</v>
      </c>
      <c r="K728" s="24" t="n">
        <v>920</v>
      </c>
      <c r="L728" s="25">
        <f>I728*K728</f>
        <v/>
      </c>
      <c r="M728" s="25">
        <f>I728*J728</f>
        <v/>
      </c>
      <c r="N728" s="25">
        <f>L728-M728</f>
        <v/>
      </c>
      <c r="O728" s="26">
        <f>IFERROR(N728/L728,0)</f>
        <v/>
      </c>
      <c r="P728">
        <f>YEAR(A728)</f>
        <v/>
      </c>
      <c r="Q728">
        <f>TEXT(A728,"mmm")</f>
        <v/>
      </c>
      <c r="R728">
        <f>IF(B728&lt;25,"18-24",IF(B728&lt;35,"25-34",IF(B728&lt;45,"35-44","45+")))</f>
        <v/>
      </c>
    </row>
    <row r="729">
      <c r="A729" s="23" t="n">
        <v>44549</v>
      </c>
      <c r="B729" s="3" t="n">
        <v>56</v>
      </c>
      <c r="C729" s="3" t="inlineStr">
        <is>
          <t>F</t>
        </is>
      </c>
      <c r="D729" s="3" t="inlineStr">
        <is>
          <t>Germany</t>
        </is>
      </c>
      <c r="E729" s="3" t="inlineStr">
        <is>
          <t>Hessen</t>
        </is>
      </c>
      <c r="F729" s="3" t="inlineStr">
        <is>
          <t>Mountain Bikes</t>
        </is>
      </c>
      <c r="G729" s="3" t="inlineStr">
        <is>
          <t>Black</t>
        </is>
      </c>
      <c r="H729" s="3" t="inlineStr">
        <is>
          <t>Mountain-200 Black, 46</t>
        </is>
      </c>
      <c r="I729" s="4" t="n">
        <v>2</v>
      </c>
      <c r="J729" s="24" t="n">
        <v>550</v>
      </c>
      <c r="K729" s="24" t="n">
        <v>850</v>
      </c>
      <c r="L729" s="25">
        <f>I729*K729</f>
        <v/>
      </c>
      <c r="M729" s="25">
        <f>I729*J729</f>
        <v/>
      </c>
      <c r="N729" s="25">
        <f>L729-M729</f>
        <v/>
      </c>
      <c r="O729" s="26">
        <f>IFERROR(N729/L729,0)</f>
        <v/>
      </c>
      <c r="P729">
        <f>YEAR(A729)</f>
        <v/>
      </c>
      <c r="Q729">
        <f>TEXT(A729,"mmm")</f>
        <v/>
      </c>
      <c r="R729">
        <f>IF(B729&lt;25,"18-24",IF(B729&lt;35,"25-34",IF(B729&lt;45,"35-44","45+")))</f>
        <v/>
      </c>
    </row>
    <row r="730">
      <c r="A730" s="23" t="n">
        <v>44481</v>
      </c>
      <c r="B730" s="3" t="n">
        <v>57</v>
      </c>
      <c r="C730" s="3" t="inlineStr">
        <is>
          <t>M</t>
        </is>
      </c>
      <c r="D730" s="3" t="inlineStr">
        <is>
          <t>Australia</t>
        </is>
      </c>
      <c r="E730" s="3" t="inlineStr">
        <is>
          <t>Queensland</t>
        </is>
      </c>
      <c r="F730" s="3" t="inlineStr">
        <is>
          <t>Road Bikes</t>
        </is>
      </c>
      <c r="G730" s="3" t="inlineStr">
        <is>
          <t>Yellow</t>
        </is>
      </c>
      <c r="H730" s="3" t="inlineStr">
        <is>
          <t>Road-550-W Yellow, 42</t>
        </is>
      </c>
      <c r="I730" s="4" t="n">
        <v>1</v>
      </c>
      <c r="J730" s="24" t="n">
        <v>500</v>
      </c>
      <c r="K730" s="24" t="n">
        <v>800</v>
      </c>
      <c r="L730" s="25">
        <f>I730*K730</f>
        <v/>
      </c>
      <c r="M730" s="25">
        <f>I730*J730</f>
        <v/>
      </c>
      <c r="N730" s="25">
        <f>L730-M730</f>
        <v/>
      </c>
      <c r="O730" s="26">
        <f>IFERROR(N730/L730,0)</f>
        <v/>
      </c>
      <c r="P730">
        <f>YEAR(A730)</f>
        <v/>
      </c>
      <c r="Q730">
        <f>TEXT(A730,"mmm")</f>
        <v/>
      </c>
      <c r="R730">
        <f>IF(B730&lt;25,"18-24",IF(B730&lt;35,"25-34",IF(B730&lt;45,"35-44","45+")))</f>
        <v/>
      </c>
    </row>
    <row r="731">
      <c r="A731" s="23" t="n">
        <v>44484</v>
      </c>
      <c r="B731" s="3" t="n">
        <v>57</v>
      </c>
      <c r="C731" s="3" t="inlineStr">
        <is>
          <t>M</t>
        </is>
      </c>
      <c r="D731" s="3" t="inlineStr">
        <is>
          <t>Australia</t>
        </is>
      </c>
      <c r="E731" s="3" t="inlineStr">
        <is>
          <t>New South Wales</t>
        </is>
      </c>
      <c r="F731" s="3" t="inlineStr">
        <is>
          <t>Road Bikes</t>
        </is>
      </c>
      <c r="G731" s="3" t="inlineStr">
        <is>
          <t>Red</t>
        </is>
      </c>
      <c r="H731" s="3" t="inlineStr">
        <is>
          <t>Road-150 Red, 52</t>
        </is>
      </c>
      <c r="I731" s="4" t="n">
        <v>4</v>
      </c>
      <c r="J731" s="24" t="n">
        <v>900</v>
      </c>
      <c r="K731" s="24" t="n">
        <v>1400</v>
      </c>
      <c r="L731" s="25">
        <f>I731*K731</f>
        <v/>
      </c>
      <c r="M731" s="25">
        <f>I731*J731</f>
        <v/>
      </c>
      <c r="N731" s="25">
        <f>L731-M731</f>
        <v/>
      </c>
      <c r="O731" s="26">
        <f>IFERROR(N731/L731,0)</f>
        <v/>
      </c>
      <c r="P731">
        <f>YEAR(A731)</f>
        <v/>
      </c>
      <c r="Q731">
        <f>TEXT(A731,"mmm")</f>
        <v/>
      </c>
      <c r="R731">
        <f>IF(B731&lt;25,"18-24",IF(B731&lt;35,"25-34",IF(B731&lt;45,"35-44","45+")))</f>
        <v/>
      </c>
    </row>
    <row r="732">
      <c r="A732" s="23" t="n">
        <v>44490</v>
      </c>
      <c r="B732" s="3" t="n">
        <v>57</v>
      </c>
      <c r="C732" s="3" t="inlineStr">
        <is>
          <t>F</t>
        </is>
      </c>
      <c r="D732" s="3" t="inlineStr">
        <is>
          <t>Australia</t>
        </is>
      </c>
      <c r="E732" s="3" t="inlineStr">
        <is>
          <t>Victoria</t>
        </is>
      </c>
      <c r="F732" s="3" t="inlineStr">
        <is>
          <t>Road Bikes</t>
        </is>
      </c>
      <c r="G732" s="3" t="inlineStr">
        <is>
          <t>Black</t>
        </is>
      </c>
      <c r="H732" s="3" t="inlineStr">
        <is>
          <t>Road-750 Black, 58</t>
        </is>
      </c>
      <c r="I732" s="4" t="n">
        <v>3</v>
      </c>
      <c r="J732" s="24" t="n">
        <v>700</v>
      </c>
      <c r="K732" s="24" t="n">
        <v>1100</v>
      </c>
      <c r="L732" s="25">
        <f>I732*K732</f>
        <v/>
      </c>
      <c r="M732" s="25">
        <f>I732*J732</f>
        <v/>
      </c>
      <c r="N732" s="25">
        <f>L732-M732</f>
        <v/>
      </c>
      <c r="O732" s="26">
        <f>IFERROR(N732/L732,0)</f>
        <v/>
      </c>
      <c r="P732">
        <f>YEAR(A732)</f>
        <v/>
      </c>
      <c r="Q732">
        <f>TEXT(A732,"mmm")</f>
        <v/>
      </c>
      <c r="R732">
        <f>IF(B732&lt;25,"18-24",IF(B732&lt;35,"25-34",IF(B732&lt;45,"35-44","45+")))</f>
        <v/>
      </c>
    </row>
    <row r="733">
      <c r="A733" s="23" t="n">
        <v>44495</v>
      </c>
      <c r="B733" s="3" t="n">
        <v>57</v>
      </c>
      <c r="C733" s="3" t="inlineStr">
        <is>
          <t>M</t>
        </is>
      </c>
      <c r="D733" s="3" t="inlineStr">
        <is>
          <t>Australia</t>
        </is>
      </c>
      <c r="E733" s="3" t="inlineStr">
        <is>
          <t>Queensland</t>
        </is>
      </c>
      <c r="F733" s="3" t="inlineStr">
        <is>
          <t>Road Bikes</t>
        </is>
      </c>
      <c r="G733" s="3" t="inlineStr">
        <is>
          <t>Yellow</t>
        </is>
      </c>
      <c r="H733" s="3" t="inlineStr">
        <is>
          <t>Road-550-W Yellow, 42</t>
        </is>
      </c>
      <c r="I733" s="4" t="n">
        <v>1</v>
      </c>
      <c r="J733" s="24" t="n">
        <v>500</v>
      </c>
      <c r="K733" s="24" t="n">
        <v>800</v>
      </c>
      <c r="L733" s="25">
        <f>I733*K733</f>
        <v/>
      </c>
      <c r="M733" s="25">
        <f>I733*J733</f>
        <v/>
      </c>
      <c r="N733" s="25">
        <f>L733-M733</f>
        <v/>
      </c>
      <c r="O733" s="26">
        <f>IFERROR(N733/L733,0)</f>
        <v/>
      </c>
      <c r="P733">
        <f>YEAR(A733)</f>
        <v/>
      </c>
      <c r="Q733">
        <f>TEXT(A733,"mmm")</f>
        <v/>
      </c>
      <c r="R733">
        <f>IF(B733&lt;25,"18-24",IF(B733&lt;35,"25-34",IF(B733&lt;45,"35-44","45+")))</f>
        <v/>
      </c>
    </row>
    <row r="734">
      <c r="A734" s="23" t="n">
        <v>44500</v>
      </c>
      <c r="B734" s="3" t="n">
        <v>57</v>
      </c>
      <c r="C734" s="3" t="inlineStr">
        <is>
          <t>M</t>
        </is>
      </c>
      <c r="D734" s="3" t="inlineStr">
        <is>
          <t>Australia</t>
        </is>
      </c>
      <c r="E734" s="3" t="inlineStr">
        <is>
          <t>Victoria</t>
        </is>
      </c>
      <c r="F734" s="3" t="inlineStr">
        <is>
          <t>Road Bikes</t>
        </is>
      </c>
      <c r="G734" s="3" t="inlineStr">
        <is>
          <t>Yellow</t>
        </is>
      </c>
      <c r="H734" s="3" t="inlineStr">
        <is>
          <t>Road-550-W Yellow, 48</t>
        </is>
      </c>
      <c r="I734" s="4" t="n">
        <v>1</v>
      </c>
      <c r="J734" s="24" t="n">
        <v>500</v>
      </c>
      <c r="K734" s="24" t="n">
        <v>800</v>
      </c>
      <c r="L734" s="25">
        <f>I734*K734</f>
        <v/>
      </c>
      <c r="M734" s="25">
        <f>I734*J734</f>
        <v/>
      </c>
      <c r="N734" s="25">
        <f>L734-M734</f>
        <v/>
      </c>
      <c r="O734" s="26">
        <f>IFERROR(N734/L734,0)</f>
        <v/>
      </c>
      <c r="P734">
        <f>YEAR(A734)</f>
        <v/>
      </c>
      <c r="Q734">
        <f>TEXT(A734,"mmm")</f>
        <v/>
      </c>
      <c r="R734">
        <f>IF(B734&lt;25,"18-24",IF(B734&lt;35,"25-34",IF(B734&lt;45,"35-44","45+")))</f>
        <v/>
      </c>
    </row>
    <row r="735">
      <c r="A735" s="23" t="n">
        <v>44530</v>
      </c>
      <c r="B735" s="3" t="n">
        <v>57</v>
      </c>
      <c r="C735" s="3" t="inlineStr">
        <is>
          <t>M</t>
        </is>
      </c>
      <c r="D735" s="3" t="inlineStr">
        <is>
          <t>United States</t>
        </is>
      </c>
      <c r="E735" s="3" t="inlineStr">
        <is>
          <t>California</t>
        </is>
      </c>
      <c r="F735" s="3" t="inlineStr">
        <is>
          <t>Road Bikes</t>
        </is>
      </c>
      <c r="G735" s="3" t="inlineStr">
        <is>
          <t>Red</t>
        </is>
      </c>
      <c r="H735" s="3" t="inlineStr">
        <is>
          <t>Road-250 Red, 58</t>
        </is>
      </c>
      <c r="I735" s="4" t="n">
        <v>1</v>
      </c>
      <c r="J735" s="24" t="n">
        <v>580</v>
      </c>
      <c r="K735" s="24" t="n">
        <v>920</v>
      </c>
      <c r="L735" s="25">
        <f>I735*K735</f>
        <v/>
      </c>
      <c r="M735" s="25">
        <f>I735*J735</f>
        <v/>
      </c>
      <c r="N735" s="25">
        <f>L735-M735</f>
        <v/>
      </c>
      <c r="O735" s="26">
        <f>IFERROR(N735/L735,0)</f>
        <v/>
      </c>
      <c r="P735">
        <f>YEAR(A735)</f>
        <v/>
      </c>
      <c r="Q735">
        <f>TEXT(A735,"mmm")</f>
        <v/>
      </c>
      <c r="R735">
        <f>IF(B735&lt;25,"18-24",IF(B735&lt;35,"25-34",IF(B735&lt;45,"35-44","45+")))</f>
        <v/>
      </c>
    </row>
    <row r="736">
      <c r="A736" s="23" t="n">
        <v>44535</v>
      </c>
      <c r="B736" s="3" t="n">
        <v>57</v>
      </c>
      <c r="C736" s="3" t="inlineStr">
        <is>
          <t>M</t>
        </is>
      </c>
      <c r="D736" s="3" t="inlineStr">
        <is>
          <t>Australia</t>
        </is>
      </c>
      <c r="E736" s="3" t="inlineStr">
        <is>
          <t>New South Wales</t>
        </is>
      </c>
      <c r="F736" s="3" t="inlineStr">
        <is>
          <t>Road Bikes</t>
        </is>
      </c>
      <c r="G736" s="3" t="inlineStr">
        <is>
          <t>Red</t>
        </is>
      </c>
      <c r="H736" s="3" t="inlineStr">
        <is>
          <t>Road-150 Red, 52</t>
        </is>
      </c>
      <c r="I736" s="4" t="n">
        <v>1</v>
      </c>
      <c r="J736" s="24" t="n">
        <v>900</v>
      </c>
      <c r="K736" s="24" t="n">
        <v>1400</v>
      </c>
      <c r="L736" s="25">
        <f>I736*K736</f>
        <v/>
      </c>
      <c r="M736" s="25">
        <f>I736*J736</f>
        <v/>
      </c>
      <c r="N736" s="25">
        <f>L736-M736</f>
        <v/>
      </c>
      <c r="O736" s="26">
        <f>IFERROR(N736/L736,0)</f>
        <v/>
      </c>
      <c r="P736">
        <f>YEAR(A736)</f>
        <v/>
      </c>
      <c r="Q736">
        <f>TEXT(A736,"mmm")</f>
        <v/>
      </c>
      <c r="R736">
        <f>IF(B736&lt;25,"18-24",IF(B736&lt;35,"25-34",IF(B736&lt;45,"35-44","45+")))</f>
        <v/>
      </c>
    </row>
    <row r="737">
      <c r="A737" s="23" t="n">
        <v>44549</v>
      </c>
      <c r="B737" s="3" t="n">
        <v>57</v>
      </c>
      <c r="C737" s="3" t="inlineStr">
        <is>
          <t>F</t>
        </is>
      </c>
      <c r="D737" s="3" t="inlineStr">
        <is>
          <t>Australia</t>
        </is>
      </c>
      <c r="E737" s="3" t="inlineStr">
        <is>
          <t>New South Wales</t>
        </is>
      </c>
      <c r="F737" s="3" t="inlineStr">
        <is>
          <t>Road Bikes</t>
        </is>
      </c>
      <c r="G737" s="3" t="inlineStr">
        <is>
          <t>Yellow</t>
        </is>
      </c>
      <c r="H737" s="3" t="inlineStr">
        <is>
          <t>Road-350-W Yellow, 44</t>
        </is>
      </c>
      <c r="I737" s="4" t="n">
        <v>1</v>
      </c>
      <c r="J737" s="24" t="n">
        <v>530</v>
      </c>
      <c r="K737" s="24" t="n">
        <v>840</v>
      </c>
      <c r="L737" s="25">
        <f>I737*K737</f>
        <v/>
      </c>
      <c r="M737" s="25">
        <f>I737*J737</f>
        <v/>
      </c>
      <c r="N737" s="25">
        <f>L737-M737</f>
        <v/>
      </c>
      <c r="O737" s="26">
        <f>IFERROR(N737/L737,0)</f>
        <v/>
      </c>
      <c r="P737">
        <f>YEAR(A737)</f>
        <v/>
      </c>
      <c r="Q737">
        <f>TEXT(A737,"mmm")</f>
        <v/>
      </c>
      <c r="R737">
        <f>IF(B737&lt;25,"18-24",IF(B737&lt;35,"25-34",IF(B737&lt;45,"35-44","45+")))</f>
        <v/>
      </c>
    </row>
    <row r="738">
      <c r="A738" s="23" t="n">
        <v>44550</v>
      </c>
      <c r="B738" s="3" t="n">
        <v>57</v>
      </c>
      <c r="C738" s="3" t="inlineStr">
        <is>
          <t>M</t>
        </is>
      </c>
      <c r="D738" s="3" t="inlineStr">
        <is>
          <t>Australia</t>
        </is>
      </c>
      <c r="E738" s="3" t="inlineStr">
        <is>
          <t>Queensland</t>
        </is>
      </c>
      <c r="F738" s="3" t="inlineStr">
        <is>
          <t>Mountain Bikes</t>
        </is>
      </c>
      <c r="G738" s="3" t="inlineStr">
        <is>
          <t>Black</t>
        </is>
      </c>
      <c r="H738" s="3" t="inlineStr">
        <is>
          <t>Mountain-200 Black, 46</t>
        </is>
      </c>
      <c r="I738" s="4" t="n">
        <v>4</v>
      </c>
      <c r="J738" s="24" t="n">
        <v>550</v>
      </c>
      <c r="K738" s="24" t="n">
        <v>850</v>
      </c>
      <c r="L738" s="25">
        <f>I738*K738</f>
        <v/>
      </c>
      <c r="M738" s="25">
        <f>I738*J738</f>
        <v/>
      </c>
      <c r="N738" s="25">
        <f>L738-M738</f>
        <v/>
      </c>
      <c r="O738" s="26">
        <f>IFERROR(N738/L738,0)</f>
        <v/>
      </c>
      <c r="P738">
        <f>YEAR(A738)</f>
        <v/>
      </c>
      <c r="Q738">
        <f>TEXT(A738,"mmm")</f>
        <v/>
      </c>
      <c r="R738">
        <f>IF(B738&lt;25,"18-24",IF(B738&lt;35,"25-34",IF(B738&lt;45,"35-44","45+")))</f>
        <v/>
      </c>
    </row>
    <row r="739">
      <c r="A739" s="23" t="n">
        <v>44553</v>
      </c>
      <c r="B739" s="3" t="n">
        <v>57</v>
      </c>
      <c r="C739" s="3" t="inlineStr">
        <is>
          <t>F</t>
        </is>
      </c>
      <c r="D739" s="3" t="inlineStr">
        <is>
          <t>Australia</t>
        </is>
      </c>
      <c r="E739" s="3" t="inlineStr">
        <is>
          <t>Queensland</t>
        </is>
      </c>
      <c r="F739" s="3" t="inlineStr">
        <is>
          <t>Road Bikes</t>
        </is>
      </c>
      <c r="G739" s="3" t="inlineStr">
        <is>
          <t>Red</t>
        </is>
      </c>
      <c r="H739" s="3" t="inlineStr">
        <is>
          <t>Road-150 Red, 52</t>
        </is>
      </c>
      <c r="I739" s="4" t="n">
        <v>1</v>
      </c>
      <c r="J739" s="24" t="n">
        <v>900</v>
      </c>
      <c r="K739" s="24" t="n">
        <v>1400</v>
      </c>
      <c r="L739" s="25">
        <f>I739*K739</f>
        <v/>
      </c>
      <c r="M739" s="25">
        <f>I739*J739</f>
        <v/>
      </c>
      <c r="N739" s="25">
        <f>L739-M739</f>
        <v/>
      </c>
      <c r="O739" s="26">
        <f>IFERROR(N739/L739,0)</f>
        <v/>
      </c>
      <c r="P739">
        <f>YEAR(A739)</f>
        <v/>
      </c>
      <c r="Q739">
        <f>TEXT(A739,"mmm")</f>
        <v/>
      </c>
      <c r="R739">
        <f>IF(B739&lt;25,"18-24",IF(B739&lt;35,"25-34",IF(B739&lt;45,"35-44","45+")))</f>
        <v/>
      </c>
    </row>
    <row r="740">
      <c r="A740" s="23" t="n">
        <v>44504</v>
      </c>
      <c r="B740" s="3" t="n">
        <v>58</v>
      </c>
      <c r="C740" s="3" t="inlineStr">
        <is>
          <t>F</t>
        </is>
      </c>
      <c r="D740" s="3" t="inlineStr">
        <is>
          <t>United States</t>
        </is>
      </c>
      <c r="E740" s="3" t="inlineStr">
        <is>
          <t>Oregon</t>
        </is>
      </c>
      <c r="F740" s="3" t="inlineStr">
        <is>
          <t>Road Bikes</t>
        </is>
      </c>
      <c r="G740" s="3" t="inlineStr">
        <is>
          <t>Black</t>
        </is>
      </c>
      <c r="H740" s="3" t="inlineStr">
        <is>
          <t>Road-250 Black, 52</t>
        </is>
      </c>
      <c r="I740" s="4" t="n">
        <v>1</v>
      </c>
      <c r="J740" s="24" t="n">
        <v>580</v>
      </c>
      <c r="K740" s="24" t="n">
        <v>920</v>
      </c>
      <c r="L740" s="25">
        <f>I740*K740</f>
        <v/>
      </c>
      <c r="M740" s="25">
        <f>I740*J740</f>
        <v/>
      </c>
      <c r="N740" s="25">
        <f>L740-M740</f>
        <v/>
      </c>
      <c r="O740" s="26">
        <f>IFERROR(N740/L740,0)</f>
        <v/>
      </c>
      <c r="P740">
        <f>YEAR(A740)</f>
        <v/>
      </c>
      <c r="Q740">
        <f>TEXT(A740,"mmm")</f>
        <v/>
      </c>
      <c r="R740">
        <f>IF(B740&lt;25,"18-24",IF(B740&lt;35,"25-34",IF(B740&lt;45,"35-44","45+")))</f>
        <v/>
      </c>
    </row>
    <row r="741">
      <c r="A741" s="23" t="n">
        <v>44528</v>
      </c>
      <c r="B741" s="3" t="n">
        <v>59</v>
      </c>
      <c r="C741" s="3" t="inlineStr">
        <is>
          <t>F</t>
        </is>
      </c>
      <c r="D741" s="3" t="inlineStr">
        <is>
          <t>United Kingdom</t>
        </is>
      </c>
      <c r="E741" s="3" t="inlineStr">
        <is>
          <t>England</t>
        </is>
      </c>
      <c r="F741" s="3" t="inlineStr">
        <is>
          <t>Road Bikes</t>
        </is>
      </c>
      <c r="G741" s="3" t="inlineStr">
        <is>
          <t>Red</t>
        </is>
      </c>
      <c r="H741" s="3" t="inlineStr">
        <is>
          <t>Road-250 Red, 48</t>
        </is>
      </c>
      <c r="I741" s="4" t="n">
        <v>2</v>
      </c>
      <c r="J741" s="24" t="n">
        <v>580</v>
      </c>
      <c r="K741" s="24" t="n">
        <v>920</v>
      </c>
      <c r="L741" s="25">
        <f>I741*K741</f>
        <v/>
      </c>
      <c r="M741" s="25">
        <f>I741*J741</f>
        <v/>
      </c>
      <c r="N741" s="25">
        <f>L741-M741</f>
        <v/>
      </c>
      <c r="O741" s="26">
        <f>IFERROR(N741/L741,0)</f>
        <v/>
      </c>
      <c r="P741">
        <f>YEAR(A741)</f>
        <v/>
      </c>
      <c r="Q741">
        <f>TEXT(A741,"mmm")</f>
        <v/>
      </c>
      <c r="R741">
        <f>IF(B741&lt;25,"18-24",IF(B741&lt;35,"25-34",IF(B741&lt;45,"35-44","45+")))</f>
        <v/>
      </c>
    </row>
    <row r="742">
      <c r="A742" s="23" t="n">
        <v>44533</v>
      </c>
      <c r="B742" s="3" t="n">
        <v>59</v>
      </c>
      <c r="C742" s="3" t="inlineStr">
        <is>
          <t>F</t>
        </is>
      </c>
      <c r="D742" s="3" t="inlineStr">
        <is>
          <t>United Kingdom</t>
        </is>
      </c>
      <c r="E742" s="3" t="inlineStr">
        <is>
          <t>England</t>
        </is>
      </c>
      <c r="F742" s="3" t="inlineStr">
        <is>
          <t>Road Bikes</t>
        </is>
      </c>
      <c r="G742" s="3" t="inlineStr">
        <is>
          <t>Red</t>
        </is>
      </c>
      <c r="H742" s="3" t="inlineStr">
        <is>
          <t>Road-250 Red, 48</t>
        </is>
      </c>
      <c r="I742" s="4" t="n">
        <v>4</v>
      </c>
      <c r="J742" s="24" t="n">
        <v>580</v>
      </c>
      <c r="K742" s="24" t="n">
        <v>920</v>
      </c>
      <c r="L742" s="25">
        <f>I742*K742</f>
        <v/>
      </c>
      <c r="M742" s="25">
        <f>I742*J742</f>
        <v/>
      </c>
      <c r="N742" s="25">
        <f>L742-M742</f>
        <v/>
      </c>
      <c r="O742" s="26">
        <f>IFERROR(N742/L742,0)</f>
        <v/>
      </c>
      <c r="P742">
        <f>YEAR(A742)</f>
        <v/>
      </c>
      <c r="Q742">
        <f>TEXT(A742,"mmm")</f>
        <v/>
      </c>
      <c r="R742">
        <f>IF(B742&lt;25,"18-24",IF(B742&lt;35,"25-34",IF(B742&lt;45,"35-44","45+")))</f>
        <v/>
      </c>
    </row>
    <row r="743">
      <c r="A743" s="23" t="n">
        <v>44513</v>
      </c>
      <c r="B743" s="3" t="n">
        <v>60</v>
      </c>
      <c r="C743" s="3" t="inlineStr">
        <is>
          <t>M</t>
        </is>
      </c>
      <c r="D743" s="3" t="inlineStr">
        <is>
          <t>United States</t>
        </is>
      </c>
      <c r="E743" s="3" t="inlineStr">
        <is>
          <t>California</t>
        </is>
      </c>
      <c r="F743" s="3" t="inlineStr">
        <is>
          <t>Road Bikes</t>
        </is>
      </c>
      <c r="G743" s="3" t="inlineStr">
        <is>
          <t>Red</t>
        </is>
      </c>
      <c r="H743" s="3" t="inlineStr">
        <is>
          <t>Road-150 Red, 48</t>
        </is>
      </c>
      <c r="I743" s="4" t="n">
        <v>1</v>
      </c>
      <c r="J743" s="24" t="n">
        <v>900</v>
      </c>
      <c r="K743" s="24" t="n">
        <v>1400</v>
      </c>
      <c r="L743" s="25">
        <f>I743*K743</f>
        <v/>
      </c>
      <c r="M743" s="25">
        <f>I743*J743</f>
        <v/>
      </c>
      <c r="N743" s="25">
        <f>L743-M743</f>
        <v/>
      </c>
      <c r="O743" s="26">
        <f>IFERROR(N743/L743,0)</f>
        <v/>
      </c>
      <c r="P743">
        <f>YEAR(A743)</f>
        <v/>
      </c>
      <c r="Q743">
        <f>TEXT(A743,"mmm")</f>
        <v/>
      </c>
      <c r="R743">
        <f>IF(B743&lt;25,"18-24",IF(B743&lt;35,"25-34",IF(B743&lt;45,"35-44","45+")))</f>
        <v/>
      </c>
    </row>
    <row r="744">
      <c r="A744" s="23" t="n">
        <v>44530</v>
      </c>
      <c r="B744" s="3" t="n">
        <v>60</v>
      </c>
      <c r="C744" s="3" t="inlineStr">
        <is>
          <t>F</t>
        </is>
      </c>
      <c r="D744" s="3" t="inlineStr">
        <is>
          <t>United States</t>
        </is>
      </c>
      <c r="E744" s="3" t="inlineStr">
        <is>
          <t>California</t>
        </is>
      </c>
      <c r="F744" s="3" t="inlineStr">
        <is>
          <t>Road Bikes</t>
        </is>
      </c>
      <c r="G744" s="3" t="inlineStr">
        <is>
          <t>Yellow</t>
        </is>
      </c>
      <c r="H744" s="3" t="inlineStr">
        <is>
          <t>Road-550-W Yellow, 44</t>
        </is>
      </c>
      <c r="I744" s="4" t="n">
        <v>4</v>
      </c>
      <c r="J744" s="24" t="n">
        <v>500</v>
      </c>
      <c r="K744" s="24" t="n">
        <v>800</v>
      </c>
      <c r="L744" s="25">
        <f>I744*K744</f>
        <v/>
      </c>
      <c r="M744" s="25">
        <f>I744*J744</f>
        <v/>
      </c>
      <c r="N744" s="25">
        <f>L744-M744</f>
        <v/>
      </c>
      <c r="O744" s="26">
        <f>IFERROR(N744/L744,0)</f>
        <v/>
      </c>
      <c r="P744">
        <f>YEAR(A744)</f>
        <v/>
      </c>
      <c r="Q744">
        <f>TEXT(A744,"mmm")</f>
        <v/>
      </c>
      <c r="R744">
        <f>IF(B744&lt;25,"18-24",IF(B744&lt;35,"25-34",IF(B744&lt;45,"35-44","45+")))</f>
        <v/>
      </c>
    </row>
    <row r="745">
      <c r="A745" s="23" t="n">
        <v>44535</v>
      </c>
      <c r="B745" s="3" t="n">
        <v>60</v>
      </c>
      <c r="C745" s="3" t="inlineStr">
        <is>
          <t>M</t>
        </is>
      </c>
      <c r="D745" s="3" t="inlineStr">
        <is>
          <t>United States</t>
        </is>
      </c>
      <c r="E745" s="3" t="inlineStr">
        <is>
          <t>California</t>
        </is>
      </c>
      <c r="F745" s="3" t="inlineStr">
        <is>
          <t>Road Bikes</t>
        </is>
      </c>
      <c r="G745" s="3" t="inlineStr">
        <is>
          <t>Red</t>
        </is>
      </c>
      <c r="H745" s="3" t="inlineStr">
        <is>
          <t>Road-150 Red, 48</t>
        </is>
      </c>
      <c r="I745" s="4" t="n">
        <v>4</v>
      </c>
      <c r="J745" s="24" t="n">
        <v>900</v>
      </c>
      <c r="K745" s="24" t="n">
        <v>1400</v>
      </c>
      <c r="L745" s="25">
        <f>I745*K745</f>
        <v/>
      </c>
      <c r="M745" s="25">
        <f>I745*J745</f>
        <v/>
      </c>
      <c r="N745" s="25">
        <f>L745-M745</f>
        <v/>
      </c>
      <c r="O745" s="26">
        <f>IFERROR(N745/L745,0)</f>
        <v/>
      </c>
      <c r="P745">
        <f>YEAR(A745)</f>
        <v/>
      </c>
      <c r="Q745">
        <f>TEXT(A745,"mmm")</f>
        <v/>
      </c>
      <c r="R745">
        <f>IF(B745&lt;25,"18-24",IF(B745&lt;35,"25-34",IF(B745&lt;45,"35-44","45+")))</f>
        <v/>
      </c>
    </row>
    <row r="746">
      <c r="A746" s="23" t="n">
        <v>44489</v>
      </c>
      <c r="B746" s="3" t="n">
        <v>61</v>
      </c>
      <c r="C746" s="3" t="inlineStr">
        <is>
          <t>M</t>
        </is>
      </c>
      <c r="D746" s="3" t="inlineStr">
        <is>
          <t>United States</t>
        </is>
      </c>
      <c r="E746" s="3" t="inlineStr">
        <is>
          <t>Washington</t>
        </is>
      </c>
      <c r="F746" s="3" t="inlineStr">
        <is>
          <t>Road Bikes</t>
        </is>
      </c>
      <c r="G746" s="3" t="inlineStr">
        <is>
          <t>Black</t>
        </is>
      </c>
      <c r="H746" s="3" t="inlineStr">
        <is>
          <t>Road-250 Black, 48</t>
        </is>
      </c>
      <c r="I746" s="4" t="n">
        <v>1</v>
      </c>
      <c r="J746" s="24" t="n">
        <v>580</v>
      </c>
      <c r="K746" s="24" t="n">
        <v>920</v>
      </c>
      <c r="L746" s="25">
        <f>I746*K746</f>
        <v/>
      </c>
      <c r="M746" s="25">
        <f>I746*J746</f>
        <v/>
      </c>
      <c r="N746" s="25">
        <f>L746-M746</f>
        <v/>
      </c>
      <c r="O746" s="26">
        <f>IFERROR(N746/L746,0)</f>
        <v/>
      </c>
      <c r="P746">
        <f>YEAR(A746)</f>
        <v/>
      </c>
      <c r="Q746">
        <f>TEXT(A746,"mmm")</f>
        <v/>
      </c>
      <c r="R746">
        <f>IF(B746&lt;25,"18-24",IF(B746&lt;35,"25-34",IF(B746&lt;45,"35-44","45+")))</f>
        <v/>
      </c>
    </row>
    <row r="747">
      <c r="A747" s="23" t="n">
        <v>44490</v>
      </c>
      <c r="B747" s="3" t="n">
        <v>61</v>
      </c>
      <c r="C747" s="3" t="inlineStr">
        <is>
          <t>F</t>
        </is>
      </c>
      <c r="D747" s="3" t="inlineStr">
        <is>
          <t>United States</t>
        </is>
      </c>
      <c r="E747" s="3" t="inlineStr">
        <is>
          <t>California</t>
        </is>
      </c>
      <c r="F747" s="3" t="inlineStr">
        <is>
          <t>Road Bikes</t>
        </is>
      </c>
      <c r="G747" s="3" t="inlineStr">
        <is>
          <t>Red</t>
        </is>
      </c>
      <c r="H747" s="3" t="inlineStr">
        <is>
          <t>Road-150 Red, 52</t>
        </is>
      </c>
      <c r="I747" s="4" t="n">
        <v>2</v>
      </c>
      <c r="J747" s="24" t="n">
        <v>900</v>
      </c>
      <c r="K747" s="24" t="n">
        <v>1400</v>
      </c>
      <c r="L747" s="25">
        <f>I747*K747</f>
        <v/>
      </c>
      <c r="M747" s="25">
        <f>I747*J747</f>
        <v/>
      </c>
      <c r="N747" s="25">
        <f>L747-M747</f>
        <v/>
      </c>
      <c r="O747" s="26">
        <f>IFERROR(N747/L747,0)</f>
        <v/>
      </c>
      <c r="P747">
        <f>YEAR(A747)</f>
        <v/>
      </c>
      <c r="Q747">
        <f>TEXT(A747,"mmm")</f>
        <v/>
      </c>
      <c r="R747">
        <f>IF(B747&lt;25,"18-24",IF(B747&lt;35,"25-34",IF(B747&lt;45,"35-44","45+")))</f>
        <v/>
      </c>
    </row>
    <row r="748">
      <c r="A748" s="23" t="n">
        <v>44526</v>
      </c>
      <c r="B748" s="3" t="n">
        <v>61</v>
      </c>
      <c r="C748" s="3" t="inlineStr">
        <is>
          <t>F</t>
        </is>
      </c>
      <c r="D748" s="3" t="inlineStr">
        <is>
          <t>United States</t>
        </is>
      </c>
      <c r="E748" s="3" t="inlineStr">
        <is>
          <t>California</t>
        </is>
      </c>
      <c r="F748" s="3" t="inlineStr">
        <is>
          <t>Road Bikes</t>
        </is>
      </c>
      <c r="G748" s="3" t="inlineStr">
        <is>
          <t>Red</t>
        </is>
      </c>
      <c r="H748" s="3" t="inlineStr">
        <is>
          <t>Road-150 Red, 52</t>
        </is>
      </c>
      <c r="I748" s="4" t="n">
        <v>1</v>
      </c>
      <c r="J748" s="24" t="n">
        <v>900</v>
      </c>
      <c r="K748" s="24" t="n">
        <v>1400</v>
      </c>
      <c r="L748" s="25">
        <f>I748*K748</f>
        <v/>
      </c>
      <c r="M748" s="25">
        <f>I748*J748</f>
        <v/>
      </c>
      <c r="N748" s="25">
        <f>L748-M748</f>
        <v/>
      </c>
      <c r="O748" s="26">
        <f>IFERROR(N748/L748,0)</f>
        <v/>
      </c>
      <c r="P748">
        <f>YEAR(A748)</f>
        <v/>
      </c>
      <c r="Q748">
        <f>TEXT(A748,"mmm")</f>
        <v/>
      </c>
      <c r="R748">
        <f>IF(B748&lt;25,"18-24",IF(B748&lt;35,"25-34",IF(B748&lt;45,"35-44","45+")))</f>
        <v/>
      </c>
    </row>
    <row r="749">
      <c r="A749" s="23" t="n">
        <v>44470</v>
      </c>
      <c r="B749" s="3" t="n">
        <v>62</v>
      </c>
      <c r="C749" s="3" t="inlineStr">
        <is>
          <t>M</t>
        </is>
      </c>
      <c r="D749" s="3" t="inlineStr">
        <is>
          <t>United States</t>
        </is>
      </c>
      <c r="E749" s="3" t="inlineStr">
        <is>
          <t>California</t>
        </is>
      </c>
      <c r="F749" s="3" t="inlineStr">
        <is>
          <t>Road Bikes</t>
        </is>
      </c>
      <c r="G749" s="3" t="inlineStr">
        <is>
          <t>Red</t>
        </is>
      </c>
      <c r="H749" s="3" t="inlineStr">
        <is>
          <t>Road-150 Red, 56</t>
        </is>
      </c>
      <c r="I749" s="4" t="n">
        <v>1</v>
      </c>
      <c r="J749" s="24" t="n">
        <v>900</v>
      </c>
      <c r="K749" s="24" t="n">
        <v>1400</v>
      </c>
      <c r="L749" s="25">
        <f>I749*K749</f>
        <v/>
      </c>
      <c r="M749" s="25">
        <f>I749*J749</f>
        <v/>
      </c>
      <c r="N749" s="25">
        <f>L749-M749</f>
        <v/>
      </c>
      <c r="O749" s="26">
        <f>IFERROR(N749/L749,0)</f>
        <v/>
      </c>
      <c r="P749">
        <f>YEAR(A749)</f>
        <v/>
      </c>
      <c r="Q749">
        <f>TEXT(A749,"mmm")</f>
        <v/>
      </c>
      <c r="R749">
        <f>IF(B749&lt;25,"18-24",IF(B749&lt;35,"25-34",IF(B749&lt;45,"35-44","45+")))</f>
        <v/>
      </c>
    </row>
    <row r="750">
      <c r="A750" s="23" t="n">
        <v>44509</v>
      </c>
      <c r="B750" s="3" t="n">
        <v>63</v>
      </c>
      <c r="C750" s="3" t="inlineStr">
        <is>
          <t>F</t>
        </is>
      </c>
      <c r="D750" s="3" t="inlineStr">
        <is>
          <t>United States</t>
        </is>
      </c>
      <c r="E750" s="3" t="inlineStr">
        <is>
          <t>California</t>
        </is>
      </c>
      <c r="F750" s="3" t="inlineStr">
        <is>
          <t>Road Bikes</t>
        </is>
      </c>
      <c r="G750" s="3" t="inlineStr">
        <is>
          <t>Black</t>
        </is>
      </c>
      <c r="H750" s="3" t="inlineStr">
        <is>
          <t>Road-250 Black, 44</t>
        </is>
      </c>
      <c r="I750" s="4" t="n">
        <v>4</v>
      </c>
      <c r="J750" s="24" t="n">
        <v>580</v>
      </c>
      <c r="K750" s="24" t="n">
        <v>920</v>
      </c>
      <c r="L750" s="25">
        <f>I750*K750</f>
        <v/>
      </c>
      <c r="M750" s="25">
        <f>I750*J750</f>
        <v/>
      </c>
      <c r="N750" s="25">
        <f>L750-M750</f>
        <v/>
      </c>
      <c r="O750" s="26">
        <f>IFERROR(N750/L750,0)</f>
        <v/>
      </c>
      <c r="P750">
        <f>YEAR(A750)</f>
        <v/>
      </c>
      <c r="Q750">
        <f>TEXT(A750,"mmm")</f>
        <v/>
      </c>
      <c r="R750">
        <f>IF(B750&lt;25,"18-24",IF(B750&lt;35,"25-34",IF(B750&lt;45,"35-44","45+")))</f>
        <v/>
      </c>
    </row>
    <row r="751">
      <c r="A751" s="23" t="n">
        <v>44549</v>
      </c>
      <c r="B751" s="3" t="n">
        <v>63</v>
      </c>
      <c r="C751" s="3" t="inlineStr">
        <is>
          <t>F</t>
        </is>
      </c>
      <c r="D751" s="3" t="inlineStr">
        <is>
          <t>Australia</t>
        </is>
      </c>
      <c r="E751" s="3" t="inlineStr">
        <is>
          <t>Queensland</t>
        </is>
      </c>
      <c r="F751" s="3" t="inlineStr">
        <is>
          <t>Mountain Bikes</t>
        </is>
      </c>
      <c r="G751" s="3" t="inlineStr">
        <is>
          <t>Black</t>
        </is>
      </c>
      <c r="H751" s="3" t="inlineStr">
        <is>
          <t>Mountain-200 Black, 46</t>
        </is>
      </c>
      <c r="I751" s="4" t="n">
        <v>4</v>
      </c>
      <c r="J751" s="24" t="n">
        <v>550</v>
      </c>
      <c r="K751" s="24" t="n">
        <v>850</v>
      </c>
      <c r="L751" s="25">
        <f>I751*K751</f>
        <v/>
      </c>
      <c r="M751" s="25">
        <f>I751*J751</f>
        <v/>
      </c>
      <c r="N751" s="25">
        <f>L751-M751</f>
        <v/>
      </c>
      <c r="O751" s="26">
        <f>IFERROR(N751/L751,0)</f>
        <v/>
      </c>
      <c r="P751">
        <f>YEAR(A751)</f>
        <v/>
      </c>
      <c r="Q751">
        <f>TEXT(A751,"mmm")</f>
        <v/>
      </c>
      <c r="R751">
        <f>IF(B751&lt;25,"18-24",IF(B751&lt;35,"25-34",IF(B751&lt;45,"35-44","45+")))</f>
        <v/>
      </c>
    </row>
    <row r="752">
      <c r="A752" s="23" t="n">
        <v>44543</v>
      </c>
      <c r="B752" s="3" t="n">
        <v>69</v>
      </c>
      <c r="C752" s="3" t="inlineStr">
        <is>
          <t>M</t>
        </is>
      </c>
      <c r="D752" s="3" t="inlineStr">
        <is>
          <t>Australia</t>
        </is>
      </c>
      <c r="E752" s="3" t="inlineStr">
        <is>
          <t>Queensland</t>
        </is>
      </c>
      <c r="F752" s="3" t="inlineStr">
        <is>
          <t>Road Bikes</t>
        </is>
      </c>
      <c r="G752" s="3" t="inlineStr">
        <is>
          <t>Red</t>
        </is>
      </c>
      <c r="H752" s="3" t="inlineStr">
        <is>
          <t>Road-250 Red, 58</t>
        </is>
      </c>
      <c r="I752" s="4" t="n">
        <v>1</v>
      </c>
      <c r="J752" s="24" t="n">
        <v>580</v>
      </c>
      <c r="K752" s="24" t="n">
        <v>920</v>
      </c>
      <c r="L752" s="25">
        <f>I752*K752</f>
        <v/>
      </c>
      <c r="M752" s="25">
        <f>I752*J752</f>
        <v/>
      </c>
      <c r="N752" s="25">
        <f>L752-M752</f>
        <v/>
      </c>
      <c r="O752" s="26">
        <f>IFERROR(N752/L752,0)</f>
        <v/>
      </c>
      <c r="P752">
        <f>YEAR(A752)</f>
        <v/>
      </c>
      <c r="Q752">
        <f>TEXT(A752,"mmm")</f>
        <v/>
      </c>
      <c r="R752">
        <f>IF(B752&lt;25,"18-24",IF(B752&lt;35,"25-34",IF(B752&lt;45,"35-44","45+")))</f>
        <v/>
      </c>
    </row>
    <row r="753">
      <c r="A753" s="23" t="n">
        <v>44539</v>
      </c>
      <c r="B753" s="3" t="n">
        <v>75</v>
      </c>
      <c r="C753" s="3" t="inlineStr">
        <is>
          <t>M</t>
        </is>
      </c>
      <c r="D753" s="3" t="inlineStr">
        <is>
          <t>United Kingdom</t>
        </is>
      </c>
      <c r="E753" s="3" t="inlineStr">
        <is>
          <t>England</t>
        </is>
      </c>
      <c r="F753" s="3" t="inlineStr">
        <is>
          <t>Road Bikes</t>
        </is>
      </c>
      <c r="G753" s="3" t="inlineStr">
        <is>
          <t>Black</t>
        </is>
      </c>
      <c r="H753" s="3" t="inlineStr">
        <is>
          <t>Road-250 Black, 48</t>
        </is>
      </c>
      <c r="I753" s="4" t="n">
        <v>2</v>
      </c>
      <c r="J753" s="24" t="n">
        <v>580</v>
      </c>
      <c r="K753" s="24" t="n">
        <v>920</v>
      </c>
      <c r="L753" s="25">
        <f>I753*K753</f>
        <v/>
      </c>
      <c r="M753" s="25">
        <f>I753*J753</f>
        <v/>
      </c>
      <c r="N753" s="25">
        <f>L753-M753</f>
        <v/>
      </c>
      <c r="O753" s="26">
        <f>IFERROR(N753/L753,0)</f>
        <v/>
      </c>
      <c r="P753">
        <f>YEAR(A753)</f>
        <v/>
      </c>
      <c r="Q753">
        <f>TEXT(A753,"mmm")</f>
        <v/>
      </c>
      <c r="R753">
        <f>IF(B753&lt;25,"18-24",IF(B753&lt;35,"25-34",IF(B753&lt;45,"35-44","45+")))</f>
        <v/>
      </c>
    </row>
  </sheetData>
  <autoFilter ref="A1:R753"/>
  <conditionalFormatting sqref="L2:L75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75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48" customWidth="1" min="3" max="3"/>
    <col width="18" customWidth="1" min="4" max="4"/>
    <col width="18" customWidth="1" min="6" max="6"/>
  </cols>
  <sheetData>
    <row r="1">
      <c r="A1" s="27" t="inlineStr">
        <is>
          <t>Task 1 | Excel Functions &amp; Data Analysis</t>
        </is>
      </c>
    </row>
    <row r="3">
      <c r="A3" s="28" t="inlineStr">
        <is>
          <t>Metric</t>
        </is>
      </c>
      <c r="B3" s="28" t="inlineStr">
        <is>
          <t>Formula / Result</t>
        </is>
      </c>
      <c r="C3" s="28" t="inlineStr">
        <is>
          <t>Use</t>
        </is>
      </c>
    </row>
    <row r="4">
      <c r="A4" s="29" t="inlineStr">
        <is>
          <t>Records</t>
        </is>
      </c>
      <c r="B4">
        <f>COUNT('Sales Data'!A2:A753)</f>
        <v/>
      </c>
      <c r="C4" t="inlineStr">
        <is>
          <t>COUNT</t>
        </is>
      </c>
    </row>
    <row r="5">
      <c r="A5" s="29" t="inlineStr">
        <is>
          <t>Unique Products</t>
        </is>
      </c>
      <c r="B5">
        <f>COUNTA('Unique Lists'!A2:A753)</f>
        <v/>
      </c>
      <c r="C5" t="inlineStr">
        <is>
          <t>COUNTA</t>
        </is>
      </c>
    </row>
    <row r="6">
      <c r="A6" s="29" t="inlineStr">
        <is>
          <t>Blank Products</t>
        </is>
      </c>
      <c r="B6">
        <f>COUNTBLANK('Sales Data'!H2:H753)</f>
        <v/>
      </c>
      <c r="C6" t="inlineStr">
        <is>
          <t>COUNTBLANK</t>
        </is>
      </c>
    </row>
    <row r="7">
      <c r="A7" s="29" t="inlineStr">
        <is>
          <t>Total Sales</t>
        </is>
      </c>
      <c r="B7">
        <f>SUM('Sales Data'!L2:L753)</f>
        <v/>
      </c>
      <c r="C7" t="inlineStr">
        <is>
          <t>SUM</t>
        </is>
      </c>
    </row>
    <row r="8">
      <c r="A8" s="29" t="inlineStr">
        <is>
          <t>Average Sales/Row</t>
        </is>
      </c>
      <c r="B8">
        <f>AVERAGE('Sales Data'!L2:L753)</f>
        <v/>
      </c>
      <c r="C8" t="inlineStr">
        <is>
          <t>AVERAGE</t>
        </is>
      </c>
    </row>
    <row r="9">
      <c r="A9" s="29" t="inlineStr">
        <is>
          <t>Road Bikes Count</t>
        </is>
      </c>
      <c r="B9">
        <f>COUNTIF('Sales Data'!F2:F753,"Road Bikes")</f>
        <v/>
      </c>
      <c r="C9" t="inlineStr">
        <is>
          <t>COUNTIF</t>
        </is>
      </c>
    </row>
    <row r="10">
      <c r="A10" s="29" t="inlineStr">
        <is>
          <t>Road Bikes Sales</t>
        </is>
      </c>
      <c r="B10">
        <f>SUMIF('Sales Data'!F2:F753,"Road Bikes",'Sales Data'!L2:L753)</f>
        <v/>
      </c>
      <c r="C10" t="inlineStr">
        <is>
          <t>SUMIF</t>
        </is>
      </c>
    </row>
    <row r="11">
      <c r="A11" s="29" t="inlineStr">
        <is>
          <t>Road Bikes Avg Profit</t>
        </is>
      </c>
      <c r="B11">
        <f>AVERAGEIF('Sales Data'!F2:F753,"Road Bikes",'Sales Data'!N2:N753)</f>
        <v/>
      </c>
      <c r="C11" t="inlineStr">
        <is>
          <t>AVERAGEIF</t>
        </is>
      </c>
    </row>
    <row r="14">
      <c r="A14" s="28" t="inlineStr">
        <is>
          <t>COUNTIFS / SUMIFS / AVERAGEIFS</t>
        </is>
      </c>
    </row>
    <row r="15">
      <c r="A15" t="inlineStr">
        <is>
          <t>Criteria: Road Bikes + Black</t>
        </is>
      </c>
      <c r="B15" t="inlineStr">
        <is>
          <t>Road Bikes</t>
        </is>
      </c>
      <c r="C15" t="inlineStr">
        <is>
          <t>Black</t>
        </is>
      </c>
    </row>
    <row r="16">
      <c r="A16" t="inlineStr">
        <is>
          <t>COUNTIFS</t>
        </is>
      </c>
      <c r="B16">
        <f>COUNTIFS('Sales Data'!F2:F753,B15,'Sales Data'!G2:G753,C15)</f>
        <v/>
      </c>
    </row>
    <row r="17">
      <c r="A17" t="inlineStr">
        <is>
          <t>SUMIFS</t>
        </is>
      </c>
      <c r="B17">
        <f>SUMIFS('Sales Data'!L2:L753,'Sales Data'!F2:F753,B15,'Sales Data'!G2:G753,C15)</f>
        <v/>
      </c>
    </row>
    <row r="18">
      <c r="A18" t="inlineStr">
        <is>
          <t>AVERAGEIFS</t>
        </is>
      </c>
      <c r="B18">
        <f>AVERAGEIFS('Sales Data'!N2:N753,'Sales Data'!F2:F753,B15,'Sales Data'!G2:G753,C15)</f>
        <v/>
      </c>
    </row>
    <row r="21">
      <c r="A21" s="28" t="inlineStr">
        <is>
          <t>RANK Example</t>
        </is>
      </c>
    </row>
    <row r="22">
      <c r="A22" t="inlineStr">
        <is>
          <t>First row profit rank</t>
        </is>
      </c>
      <c r="B22">
        <f>RANK.EQ('Sales Data'!N2,'Sales Data'!N2:N753,0)</f>
        <v/>
      </c>
    </row>
    <row r="27">
      <c r="A27" s="30" t="inlineStr">
        <is>
          <t>Sub_Category</t>
        </is>
      </c>
      <c r="B27" s="30" t="inlineStr">
        <is>
          <t>Count</t>
        </is>
      </c>
      <c r="C27" s="30" t="inlineStr">
        <is>
          <t>Total Sales</t>
        </is>
      </c>
      <c r="D27" s="30" t="inlineStr">
        <is>
          <t>Average Profit</t>
        </is>
      </c>
    </row>
    <row r="28">
      <c r="A28" t="inlineStr">
        <is>
          <t>Mountain Bikes</t>
        </is>
      </c>
      <c r="B28">
        <f>COUNTIF('Sales Data'!F2:F753,A28)</f>
        <v/>
      </c>
      <c r="C28" s="25">
        <f>SUMIF('Sales Data'!F2:F753,A28,'Sales Data'!L2:L753)</f>
        <v/>
      </c>
      <c r="D28" s="25">
        <f>AVERAGEIF('Sales Data'!F2:F753,A28,'Sales Data'!N2:N753)</f>
        <v/>
      </c>
    </row>
    <row r="29">
      <c r="A29" t="inlineStr">
        <is>
          <t>Road Bikes</t>
        </is>
      </c>
      <c r="B29">
        <f>COUNTIF('Sales Data'!F2:F753,A29)</f>
        <v/>
      </c>
      <c r="C29" s="25">
        <f>SUMIF('Sales Data'!F2:F753,A29,'Sales Data'!L2:L753)</f>
        <v/>
      </c>
      <c r="D29" s="25">
        <f>AVERAGEIF('Sales Data'!F2:F753,A29,'Sales Data'!N2:N753)</f>
        <v/>
      </c>
    </row>
  </sheetData>
  <mergeCells count="1">
    <mergeCell ref="A1:H1"/>
  </mergeCells>
  <conditionalFormatting sqref="C28:C29">
    <cfRule type="dataBar" priority="1">
      <dataBar showValue="1"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3" max="3"/>
  </cols>
  <sheetData>
    <row r="1">
      <c r="A1" s="28" t="inlineStr">
        <is>
          <t>Unique Products (UNIQUE)</t>
        </is>
      </c>
      <c r="C1" s="28" t="inlineStr">
        <is>
          <t>Explicit Unique List</t>
        </is>
      </c>
    </row>
    <row r="2">
      <c r="A2">
        <f>UNIQUE('Sales Data'!H2:H753)</f>
        <v/>
      </c>
      <c r="C2" t="inlineStr">
        <is>
          <t>Mountain-100 Black, 38</t>
        </is>
      </c>
    </row>
    <row r="3">
      <c r="C3" t="inlineStr">
        <is>
          <t>Mountain-100 Black, 42</t>
        </is>
      </c>
    </row>
    <row r="4">
      <c r="C4" t="inlineStr">
        <is>
          <t>Mountain-100 Black, 48</t>
        </is>
      </c>
    </row>
    <row r="5">
      <c r="C5" t="inlineStr">
        <is>
          <t>Mountain-100 Silver, 44</t>
        </is>
      </c>
    </row>
    <row r="6">
      <c r="C6" t="inlineStr">
        <is>
          <t>Mountain-200 Black, 38</t>
        </is>
      </c>
    </row>
    <row r="7">
      <c r="C7" t="inlineStr">
        <is>
          <t>Mountain-200 Black, 42</t>
        </is>
      </c>
    </row>
    <row r="8">
      <c r="C8" t="inlineStr">
        <is>
          <t>Mountain-200 Black, 46</t>
        </is>
      </c>
    </row>
    <row r="9">
      <c r="C9" t="inlineStr">
        <is>
          <t>Mountain-200 Silver, 38</t>
        </is>
      </c>
    </row>
    <row r="10">
      <c r="C10" t="inlineStr">
        <is>
          <t>Mountain-200 Silver, 42</t>
        </is>
      </c>
    </row>
    <row r="11">
      <c r="C11" t="inlineStr">
        <is>
          <t>Mountain-200 Silver, 46</t>
        </is>
      </c>
    </row>
    <row r="12">
      <c r="C12" t="inlineStr">
        <is>
          <t>Mountain-400-W Silver, 38</t>
        </is>
      </c>
    </row>
    <row r="13">
      <c r="C13" t="inlineStr">
        <is>
          <t>Mountain-400-W Silver, 40</t>
        </is>
      </c>
    </row>
    <row r="14">
      <c r="C14" t="inlineStr">
        <is>
          <t>Mountain-400-W Silver, 42</t>
        </is>
      </c>
    </row>
    <row r="15">
      <c r="C15" t="inlineStr">
        <is>
          <t>Mountain-400-W Silver, 46</t>
        </is>
      </c>
    </row>
    <row r="16">
      <c r="C16" t="inlineStr">
        <is>
          <t>Mountain-500 Black, 40</t>
        </is>
      </c>
    </row>
    <row r="17">
      <c r="C17" t="inlineStr">
        <is>
          <t>Mountain-500 Black, 42</t>
        </is>
      </c>
    </row>
    <row r="18">
      <c r="C18" t="inlineStr">
        <is>
          <t>Mountain-500 Black, 44</t>
        </is>
      </c>
    </row>
    <row r="19">
      <c r="C19" t="inlineStr">
        <is>
          <t>Mountain-500 Black, 48</t>
        </is>
      </c>
    </row>
    <row r="20">
      <c r="C20" t="inlineStr">
        <is>
          <t>Mountain-500 Black, 52</t>
        </is>
      </c>
    </row>
    <row r="21">
      <c r="C21" t="inlineStr">
        <is>
          <t>Mountain-500 Silver, 40</t>
        </is>
      </c>
    </row>
    <row r="22">
      <c r="C22" t="inlineStr">
        <is>
          <t>Mountain-500 Silver, 42</t>
        </is>
      </c>
    </row>
    <row r="23">
      <c r="C23" t="inlineStr">
        <is>
          <t>Mountain-500 Silver, 52</t>
        </is>
      </c>
    </row>
    <row r="24">
      <c r="C24" t="inlineStr">
        <is>
          <t>Road-150 Red, 44</t>
        </is>
      </c>
    </row>
    <row r="25">
      <c r="C25" t="inlineStr">
        <is>
          <t>Road-150 Red, 48</t>
        </is>
      </c>
    </row>
    <row r="26">
      <c r="C26" t="inlineStr">
        <is>
          <t>Road-150 Red, 52</t>
        </is>
      </c>
    </row>
    <row r="27">
      <c r="C27" t="inlineStr">
        <is>
          <t>Road-150 Red, 56</t>
        </is>
      </c>
    </row>
    <row r="28">
      <c r="C28" t="inlineStr">
        <is>
          <t>Road-150 Red, 62</t>
        </is>
      </c>
    </row>
    <row r="29">
      <c r="C29" t="inlineStr">
        <is>
          <t>Road-250 Black, 44</t>
        </is>
      </c>
    </row>
    <row r="30">
      <c r="C30" t="inlineStr">
        <is>
          <t>Road-250 Black, 48</t>
        </is>
      </c>
    </row>
    <row r="31">
      <c r="C31" t="inlineStr">
        <is>
          <t>Road-250 Black, 52</t>
        </is>
      </c>
    </row>
    <row r="32">
      <c r="C32" t="inlineStr">
        <is>
          <t>Road-250 Black, 58</t>
        </is>
      </c>
    </row>
    <row r="33">
      <c r="C33" t="inlineStr">
        <is>
          <t>Road-250 Red, 44</t>
        </is>
      </c>
    </row>
    <row r="34">
      <c r="C34" t="inlineStr">
        <is>
          <t>Road-250 Red, 48</t>
        </is>
      </c>
    </row>
    <row r="35">
      <c r="C35" t="inlineStr">
        <is>
          <t>Road-250 Red, 52</t>
        </is>
      </c>
    </row>
    <row r="36">
      <c r="C36" t="inlineStr">
        <is>
          <t>Road-250 Red, 58</t>
        </is>
      </c>
    </row>
    <row r="37">
      <c r="C37" t="inlineStr">
        <is>
          <t>Road-350-W Yellow, 40</t>
        </is>
      </c>
    </row>
    <row r="38">
      <c r="C38" t="inlineStr">
        <is>
          <t>Road-350-W Yellow, 42</t>
        </is>
      </c>
    </row>
    <row r="39">
      <c r="C39" t="inlineStr">
        <is>
          <t>Road-350-W Yellow, 44</t>
        </is>
      </c>
    </row>
    <row r="40">
      <c r="C40" t="inlineStr">
        <is>
          <t>Road-350-W Yellow, 48</t>
        </is>
      </c>
    </row>
    <row r="41">
      <c r="C41" t="inlineStr">
        <is>
          <t>Road-550-W Yellow, 38</t>
        </is>
      </c>
    </row>
    <row r="42">
      <c r="C42" t="inlineStr">
        <is>
          <t>Road-550-W Yellow, 40</t>
        </is>
      </c>
    </row>
    <row r="43">
      <c r="C43" t="inlineStr">
        <is>
          <t>Road-550-W Yellow, 42</t>
        </is>
      </c>
    </row>
    <row r="44">
      <c r="C44" t="inlineStr">
        <is>
          <t>Road-550-W Yellow, 44</t>
        </is>
      </c>
    </row>
    <row r="45">
      <c r="C45" t="inlineStr">
        <is>
          <t>Road-550-W Yellow, 48</t>
        </is>
      </c>
    </row>
    <row r="46">
      <c r="C46" t="inlineStr">
        <is>
          <t>Road-650 Black, 44</t>
        </is>
      </c>
    </row>
    <row r="47">
      <c r="C47" t="inlineStr">
        <is>
          <t>Road-650 Black, 48</t>
        </is>
      </c>
    </row>
    <row r="48">
      <c r="C48" t="inlineStr">
        <is>
          <t>Road-650 Black, 52</t>
        </is>
      </c>
    </row>
    <row r="49">
      <c r="C49" t="inlineStr">
        <is>
          <t>Road-650 Black, 58</t>
        </is>
      </c>
    </row>
    <row r="50">
      <c r="C50" t="inlineStr">
        <is>
          <t>Road-650 Black, 60</t>
        </is>
      </c>
    </row>
    <row r="51">
      <c r="C51" t="inlineStr">
        <is>
          <t>Road-650 Black, 62</t>
        </is>
      </c>
    </row>
    <row r="52">
      <c r="C52" t="inlineStr">
        <is>
          <t>Road-650 Red, 44</t>
        </is>
      </c>
    </row>
    <row r="53">
      <c r="C53" t="inlineStr">
        <is>
          <t>Road-650 Red, 48</t>
        </is>
      </c>
    </row>
    <row r="54">
      <c r="C54" t="inlineStr">
        <is>
          <t>Road-650 Red, 52</t>
        </is>
      </c>
    </row>
    <row r="55">
      <c r="C55" t="inlineStr">
        <is>
          <t>Road-650 Red, 58</t>
        </is>
      </c>
    </row>
    <row r="56">
      <c r="C56" t="inlineStr">
        <is>
          <t>Road-650 Red, 60</t>
        </is>
      </c>
    </row>
    <row r="57">
      <c r="C57" t="inlineStr">
        <is>
          <t>Road-650 Red, 62</t>
        </is>
      </c>
    </row>
    <row r="58">
      <c r="C58" t="inlineStr">
        <is>
          <t>Road-750 Black, 44</t>
        </is>
      </c>
    </row>
    <row r="59">
      <c r="C59" t="inlineStr">
        <is>
          <t>Road-750 Black, 48</t>
        </is>
      </c>
    </row>
    <row r="60">
      <c r="C60" t="inlineStr">
        <is>
          <t>Road-750 Black, 52</t>
        </is>
      </c>
    </row>
    <row r="61">
      <c r="C61" t="inlineStr">
        <is>
          <t>Road-750 Black, 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1" t="inlineStr">
        <is>
          <t>Task 1 | Excel for Data Analytics</t>
        </is>
      </c>
    </row>
    <row r="3" ht="38" customHeight="1">
      <c r="A3" s="32" t="inlineStr">
        <is>
          <t>مصدر البيانات</t>
        </is>
      </c>
      <c r="B3" s="33" t="inlineStr">
        <is>
          <t>تم استخدام ورقة Sales Data من Bike_Sales.xlsx لأن Task 1 لم يحتوي على مرفق مستقل ظاهر في Classroom.</t>
        </is>
      </c>
    </row>
    <row r="4" ht="38" customHeight="1">
      <c r="A4" s="32" t="inlineStr">
        <is>
          <t>الأعمدة الجديدة</t>
        </is>
      </c>
      <c r="B4" s="33" t="inlineStr">
        <is>
          <t>Sales_Amount = Order_Quantity × Unit_Price، Cost_Amount = Order_Quantity × Unit_Cost، Profit، Profit_Margin، Year، Month، Age_Band.</t>
        </is>
      </c>
    </row>
    <row r="5" ht="38" customHeight="1">
      <c r="A5" s="32" t="inlineStr">
        <is>
          <t>سبب الإضافة</t>
        </is>
      </c>
      <c r="B5" s="33" t="inlineStr">
        <is>
          <t>تسهيل حساب إجمالي المبيعات والتكلفة والربح والهامش، وتجميع الأداء زمنيًا وعمريًا.</t>
        </is>
      </c>
    </row>
    <row r="6" ht="38" customHeight="1">
      <c r="A6" s="32" t="inlineStr">
        <is>
          <t>الدوال</t>
        </is>
      </c>
      <c r="B6" s="33" t="inlineStr">
        <is>
          <t>COUNT, COUNTIF, COUNTIFS, COUNTA, COUNTBLANK, SUM, SUMIF, SUMIFS, AVERAGE, AVERAGEIF, AVERAGEIFS, RANK.EQ, UNIQUE.</t>
        </is>
      </c>
    </row>
    <row r="7" ht="38" customHeight="1">
      <c r="A7" s="32" t="inlineStr">
        <is>
          <t>Tables &amp; Ranges</t>
        </is>
      </c>
      <c r="B7" s="33" t="inlineStr">
        <is>
          <t>تم تحويل Sales Data إلى Excel Table باسم BikeSalesData مع فلاتر وتنسيق منظم.</t>
        </is>
      </c>
    </row>
    <row r="8" ht="38" customHeight="1">
      <c r="A8" s="32" t="inlineStr">
        <is>
          <t>Conditional Formatting</t>
        </is>
      </c>
      <c r="B8" s="33" t="inlineStr">
        <is>
          <t>تم تطبيق Color Scale على المبيعات والربح والهامش وData Bar على ملخص Sub_Category.</t>
        </is>
      </c>
    </row>
    <row r="9" ht="38" customHeight="1">
      <c r="A9" s="32" t="inlineStr">
        <is>
          <t>المخرجات</t>
        </is>
      </c>
      <c r="B9" s="33" t="inlineStr">
        <is>
          <t>Analysis للإجابات والمؤشرات، Unique Lists لتطبيق UNIQUE، وREADME لشرح خطوات العمل.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Pickard, John</dc:creator>
  <dcterms:created xmlns:dcterms="http://purl.org/dc/terms/" xmlns:xsi="http://www.w3.org/2001/XMLSchema-instance" xsi:type="dcterms:W3CDTF">2022-06-17T21:28:41Z</dcterms:created>
  <dcterms:modified xmlns:dcterms="http://purl.org/dc/terms/" xmlns:xsi="http://www.w3.org/2001/XMLSchema-instance" xsi:type="dcterms:W3CDTF">2026-08-18T06:13:32Z</dcterms:modified>
  <cp:lastModifiedBy>Mohammed Nasr Ibrahim El Desouky Mohammed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0x010100198F9F34832A35489A19D5E200F54CC8</vt:lpwstr>
  </property>
  <property name="Order" fmtid="{D5CDD505-2E9C-101B-9397-08002B2CF9AE}" pid="3">
    <vt:r8 xmlns:vt="http://schemas.openxmlformats.org/officeDocument/2006/docPropsVTypes">2366100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</Properties>
</file>