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Logic Functions" sheetId="2" state="visible" r:id="rId4"/>
    <sheet name="Text Functions" sheetId="3" state="visible" r:id="rId5"/>
    <sheet name="Dashboard" sheetId="4" state="visible" r:id="rId6"/>
    <sheet name="Report" sheetId="5" state="visible" r:id="rId7"/>
  </sheets>
  <definedNames>
    <definedName function="false" hidden="true" localSheetId="0" name="_xlnm._FilterDatabase" vbProcedure="false">Data!$A$4:$J$28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=IF(AND(Gender="M",Age&gt;34),"Yes","No")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8</xdr:rowOff>
              </xdr:from>
              <xdr:to>
                <xdr:col>2</xdr:col>
                <xdr:colOff>72</xdr:colOff>
                <xdr:row>4</xdr:row>
                <xdr:rowOff>1</xdr:rowOff>
              </xdr:to>
            </anchor>
          </commentPr>
        </mc:Choice>
        <mc:Fallback/>
      </mc:AlternateContent>
    </comment>
    <comment ref="E4" authorId="0">
      <text>
        <r>
          <rPr>
            <sz val="10"/>
            <rFont val="Arial"/>
            <family val="2"/>
          </rPr>
          <t xml:space="preserve">=IF(OR(Gender="F",Age&lt;25),"Yes","No")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12</xdr:colOff>
                <xdr:row>0</xdr:row>
                <xdr:rowOff>8</xdr:rowOff>
              </xdr:from>
              <xdr:to>
                <xdr:col>2</xdr:col>
                <xdr:colOff>72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<sst xmlns="http://schemas.openxmlformats.org/spreadsheetml/2006/main" count="114" uniqueCount="75">
  <si>
    <t xml:space="preserve">Skill Era | Lecture 4 – Logic &amp; Text Functions</t>
  </si>
  <si>
    <t xml:space="preserve">Student: Mustafa Mahmoud Ali | Phone: 01032340302 | Email: shroh1520132020sh@gmail.com</t>
  </si>
  <si>
    <t xml:space="preserve">ID</t>
  </si>
  <si>
    <t xml:space="preserve">Gender</t>
  </si>
  <si>
    <t xml:space="preserve">Age</t>
  </si>
  <si>
    <t xml:space="preserve">Answers (Q1)</t>
  </si>
  <si>
    <t xml:space="preserve">Answers (Q2)</t>
  </si>
  <si>
    <t xml:space="preserve">Gender Label</t>
  </si>
  <si>
    <t xml:space="preserve">Age Group</t>
  </si>
  <si>
    <t xml:space="preserve">Record Code</t>
  </si>
  <si>
    <t xml:space="preserve">Age Flag</t>
  </si>
  <si>
    <t xml:space="preserve">Logic Summary</t>
  </si>
  <si>
    <t xml:space="preserve">M</t>
  </si>
  <si>
    <t xml:space="preserve">F</t>
  </si>
  <si>
    <t xml:space="preserve">Logic Functions – IF, AND and OR</t>
  </si>
  <si>
    <t xml:space="preserve">Question</t>
  </si>
  <si>
    <t xml:space="preserve">Requirement</t>
  </si>
  <si>
    <t xml:space="preserve">Formula Used</t>
  </si>
  <si>
    <t xml:space="preserve">Result Count</t>
  </si>
  <si>
    <t xml:space="preserve">Interpretation</t>
  </si>
  <si>
    <t xml:space="preserve">Q1</t>
  </si>
  <si>
    <t xml:space="preserve">If male (M) and above 34 years old → Yes; otherwise → No</t>
  </si>
  <si>
    <t xml:space="preserve">Male and age &gt; 34 uses AND.</t>
  </si>
  <si>
    <t xml:space="preserve">Q2</t>
  </si>
  <si>
    <t xml:space="preserve">If female (F) or under 25 years old → Yes; otherwise → No</t>
  </si>
  <si>
    <t xml:space="preserve">Female or age &lt; 25 uses OR.</t>
  </si>
  <si>
    <t xml:space="preserve">Notes</t>
  </si>
  <si>
    <t xml:space="preserve">The formulas are stored in the workbook so the logic can be audited and recalculated in Excel.</t>
  </si>
  <si>
    <t xml:space="preserve">Text Functions – CONCAT, TEXT, UPPER and IF</t>
  </si>
  <si>
    <t xml:space="preserve">Function</t>
  </si>
  <si>
    <t xml:space="preserve">Example Formula</t>
  </si>
  <si>
    <t xml:space="preserve">Purpose</t>
  </si>
  <si>
    <t xml:space="preserve">Applied Column</t>
  </si>
  <si>
    <t xml:space="preserve">IF</t>
  </si>
  <si>
    <t xml:space="preserve">Converts gender code to readable text</t>
  </si>
  <si>
    <t xml:space="preserve">Creates age bands</t>
  </si>
  <si>
    <t xml:space="preserve">TEXT + CONCAT</t>
  </si>
  <si>
    <t xml:space="preserve">Builds a standardized record code</t>
  </si>
  <si>
    <t xml:space="preserve">CONCAT</t>
  </si>
  <si>
    <t xml:space="preserve">Combines descriptive fields</t>
  </si>
  <si>
    <t xml:space="preserve">Personal information</t>
  </si>
  <si>
    <t xml:space="preserve">Name</t>
  </si>
  <si>
    <t xml:space="preserve">Mustafa Mahmoud Ali</t>
  </si>
  <si>
    <t xml:space="preserve">Phone</t>
  </si>
  <si>
    <t xml:space="preserve">01032340302</t>
  </si>
  <si>
    <t xml:space="preserve">Email</t>
  </si>
  <si>
    <t xml:space="preserve">shroh1520132020sh@gmail.com</t>
  </si>
  <si>
    <t xml:space="preserve">Lecture 4 Dashboard – Logic &amp; Text Analysis</t>
  </si>
  <si>
    <t xml:space="preserve">Mustafa Mahmoud Ali | Logic outcomes, gender mix and age segmentation</t>
  </si>
  <si>
    <t xml:space="preserve">Total Records</t>
  </si>
  <si>
    <t xml:space="preserve">Q1 Yes</t>
  </si>
  <si>
    <t xml:space="preserve">Q2 Yes</t>
  </si>
  <si>
    <t xml:space="preserve">Average Age</t>
  </si>
  <si>
    <t xml:space="preserve">Q1 Result</t>
  </si>
  <si>
    <t xml:space="preserve">Count</t>
  </si>
  <si>
    <t xml:space="preserve">Q2 Result</t>
  </si>
  <si>
    <t xml:space="preserve">Yes</t>
  </si>
  <si>
    <t xml:space="preserve">Male</t>
  </si>
  <si>
    <t xml:space="preserve">Under 25</t>
  </si>
  <si>
    <t xml:space="preserve">No</t>
  </si>
  <si>
    <t xml:space="preserve">Female</t>
  </si>
  <si>
    <t xml:space="preserve">25-34</t>
  </si>
  <si>
    <t xml:space="preserve">35+</t>
  </si>
  <si>
    <t xml:space="preserve">TaskK – Implementation Report</t>
  </si>
  <si>
    <t xml:space="preserve">Student</t>
  </si>
  <si>
    <t xml:space="preserve">Objective</t>
  </si>
  <si>
    <t xml:space="preserve">Complete Lecture 4 requirements using logic and text functions, then summarize the results in an interactive-style dashboard.</t>
  </si>
  <si>
    <t xml:space="preserve">Data preparation</t>
  </si>
  <si>
    <t xml:space="preserve">Recreated the 24 records from the supplied TaskK.xlsx preview, standardized headers, preserved the original ID/Gender/Age fields, and added derived analysis columns.</t>
  </si>
  <si>
    <t xml:space="preserve">New columns</t>
  </si>
  <si>
    <t xml:space="preserve">Answers (Q1) applies IF + AND to identify males above age 34. Answers (Q2) applies IF + OR to identify females or people under age 25. Gender Label, Age Group, Record Code and Logic Summary demonstrate text and nested logic functions.</t>
  </si>
  <si>
    <t xml:space="preserve">Dashboard</t>
  </si>
  <si>
    <t xml:space="preserve">The dashboard contains KPI cards, logic-result summary tables, gender distribution, age-group analysis, and charts linked to formulas so that recalculation in Excel updates the summaries.</t>
  </si>
  <si>
    <t xml:space="preserve">Quality checks</t>
  </si>
  <si>
    <t xml:space="preserve">Q1 uses a strict &gt;34 condition. Q2 uses a strict &lt;25 condition. Formula cells are retained rather than replaced by static values, enabling audit and refresh in Excel.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</si>
</sst>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color rgb="FF17365D"/>
      <name val="Cambria"/>
      <family val="0"/>
      <charset val="1"/>
    </font>
    <font>
      <b val="true"/>
      <sz val="18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8FBFD"/>
        <bgColor rgb="FFF9F9F9"/>
      </patternFill>
    </fill>
    <fill>
      <patternFill patternType="solid">
        <fgColor rgb="FFEAF2F8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65D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medium">
        <color rgb="FF17365D"/>
      </top>
      <bottom style="medium">
        <color rgb="FF17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8FBFD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Logic Answers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Dashboard!$A$9:$A$10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Dashboard!$B$9:$B$10</c:f>
              <c:numCache>
                <c:formatCode>General</c:formatCode>
                <c:ptCount val="2"/>
                <c:pt idx="0">
                  <c:v>4</c:v>
                </c:pt>
                <c:pt idx="1">
                  <c:v>20</c:v>
                </c:pt>
              </c:numCache>
            </c:numRef>
          </c:val>
        </c:ser>
        <c:gapWidth val="150"/>
        <c:overlap val="0"/>
        <c:axId val="73864627"/>
        <c:axId val="77396231"/>
      </c:barChart>
      <c:catAx>
        <c:axId val="738646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Question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396231"/>
        <c:crosses val="autoZero"/>
        <c:auto val="1"/>
        <c:lblAlgn val="ctr"/>
        <c:lblOffset val="100"/>
        <c:noMultiLvlLbl val="0"/>
      </c:catAx>
      <c:valAx>
        <c:axId val="77396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646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Dashboard!$G$9:$G$10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Dashboard!$H$9:$H$10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Age Groups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Dashboard!$J$9:$J$11</c:f>
              <c:strCache>
                <c:ptCount val="3"/>
                <c:pt idx="0">
                  <c:v>Under 25</c:v>
                </c:pt>
                <c:pt idx="1">
                  <c:v>25-34</c:v>
                </c:pt>
                <c:pt idx="2">
                  <c:v>35+</c:v>
                </c:pt>
              </c:strCache>
            </c:strRef>
          </c:cat>
          <c:val>
            <c:numRef>
              <c:f>Dashboard!$K$9:$K$11</c:f>
              <c:numCache>
                <c:formatCode>General</c:formatCode>
                <c:ptCount val="3"/>
                <c:pt idx="0">
                  <c:v>4</c:v>
                </c:pt>
                <c:pt idx="1">
                  <c:v>14</c:v>
                </c:pt>
                <c:pt idx="2">
                  <c:v>6</c:v>
                </c:pt>
              </c:numCache>
            </c:numRef>
          </c:val>
        </c:ser>
        <c:gapWidth val="150"/>
        <c:overlap val="0"/>
        <c:axId val="67210288"/>
        <c:axId val="91569124"/>
      </c:barChart>
      <c:catAx>
        <c:axId val="6721028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69124"/>
        <c:crosses val="autoZero"/>
        <c:auto val="1"/>
        <c:lblAlgn val="ctr"/>
        <c:lblOffset val="100"/>
        <c:noMultiLvlLbl val="0"/>
      </c:catAx>
      <c:valAx>
        <c:axId val="915691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102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3</xdr:col>
      <xdr:colOff>959040</xdr:colOff>
      <xdr:row>22</xdr:row>
      <xdr:rowOff>33840</xdr:rowOff>
    </xdr:to>
    <xdr:graphicFrame>
      <xdr:nvGraphicFramePr>
        <xdr:cNvPr id="0" name="Chart 1"/>
        <xdr:cNvGraphicFramePr/>
      </xdr:nvGraphicFramePr>
      <xdr:xfrm>
        <a:off x="0" y="3591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0</xdr:rowOff>
    </xdr:from>
    <xdr:to>
      <xdr:col>9</xdr:col>
      <xdr:colOff>239040</xdr:colOff>
      <xdr:row>22</xdr:row>
      <xdr:rowOff>33840</xdr:rowOff>
    </xdr:to>
    <xdr:graphicFrame>
      <xdr:nvGraphicFramePr>
        <xdr:cNvPr id="1" name="Chart 2"/>
        <xdr:cNvGraphicFramePr/>
      </xdr:nvGraphicFramePr>
      <xdr:xfrm>
        <a:off x="6720840" y="359100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3</xdr:col>
      <xdr:colOff>959040</xdr:colOff>
      <xdr:row>38</xdr:row>
      <xdr:rowOff>33480</xdr:rowOff>
    </xdr:to>
    <xdr:graphicFrame>
      <xdr:nvGraphicFramePr>
        <xdr:cNvPr id="2" name="Chart 3"/>
        <xdr:cNvGraphicFramePr/>
      </xdr:nvGraphicFramePr>
      <xdr:xfrm>
        <a:off x="0" y="80103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skKData" displayName="TaskKData" ref="A4:J28" headerRowCount="1" totalsRowCount="0" totalsRowShown="0">
  <autoFilter ref="A4:J28"/>
  <tableColumns count="10">
    <tableColumn id="1" name="ID"/>
    <tableColumn id="2" name="Gender"/>
    <tableColumn id="3" name="Age"/>
    <tableColumn id="4" name="Answers (Q1)"/>
    <tableColumn id="5" name="Answers (Q2)"/>
    <tableColumn id="6" name="Gender Label"/>
    <tableColumn id="7" name="Age Group"/>
    <tableColumn id="8" name="Record Code"/>
    <tableColumn id="9" name="Age Flag"/>
    <tableColumn id="10" name="Logic Summa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7" min="6" style="0" width="15"/>
    <col collapsed="false" customWidth="true" hidden="false" outlineLevel="0" max="9" min="8" style="0" width="18"/>
    <col collapsed="false" customWidth="true" hidden="false" outlineLevel="0" max="10" min="10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6.4" hidden="false" customHeight="false" outlineLevel="0" collapsed="false">
      <c r="A5" s="4" t="n">
        <v>1</v>
      </c>
      <c r="B5" s="4" t="s">
        <v>12</v>
      </c>
      <c r="C5" s="4" t="n">
        <v>27</v>
      </c>
      <c r="D5" s="4" t="str">
        <f aca="false">IF(AND(B5="M",C5&gt;34),"Yes","No")</f>
        <v>No</v>
      </c>
      <c r="E5" s="4" t="str">
        <f aca="false">IF(OR(B5="F",C5&lt;25),"Yes","No")</f>
        <v>No</v>
      </c>
      <c r="F5" s="4" t="str">
        <f aca="false">IF(B5="M","Male","Female")</f>
        <v>Male</v>
      </c>
      <c r="G5" s="4" t="str">
        <f aca="false">IF(C5&lt;25,"Under 25",IF(C5&lt;=34,"25-34","35+"))</f>
        <v>25-34</v>
      </c>
      <c r="H5" s="4" t="e">
        <f aca="false">concat("ID-",TEXT(A5,"000"),"-",UPPER(B5))</f>
        <v>#NAME?</v>
      </c>
      <c r="I5" s="4" t="str">
        <f aca="false">IF(C5&gt;34,"Above 34","34 or below")</f>
        <v>34 or below</v>
      </c>
      <c r="J5" s="4" t="e">
        <f aca="false">concat(F5," | ",G5," | Q1=",D5," | Q2=",E5)</f>
        <v>#NAME?</v>
      </c>
    </row>
    <row r="6" customFormat="false" ht="16.4" hidden="false" customHeight="false" outlineLevel="0" collapsed="false">
      <c r="A6" s="5" t="n">
        <v>2</v>
      </c>
      <c r="B6" s="5" t="s">
        <v>13</v>
      </c>
      <c r="C6" s="5" t="n">
        <v>32</v>
      </c>
      <c r="D6" s="5" t="str">
        <f aca="false">IF(AND(B6="M",C6&gt;34),"Yes","No")</f>
        <v>No</v>
      </c>
      <c r="E6" s="5" t="str">
        <f aca="false">IF(OR(B6="F",C6&lt;25),"Yes","No")</f>
        <v>Yes</v>
      </c>
      <c r="F6" s="5" t="str">
        <f aca="false">IF(B6="M","Male","Female")</f>
        <v>Female</v>
      </c>
      <c r="G6" s="5" t="str">
        <f aca="false">IF(C6&lt;25,"Under 25",IF(C6&lt;=34,"25-34","35+"))</f>
        <v>25-34</v>
      </c>
      <c r="H6" s="5" t="e">
        <f aca="false">concat("ID-",TEXT(A6,"000"),"-",UPPER(B6))</f>
        <v>#NAME?</v>
      </c>
      <c r="I6" s="5" t="str">
        <f aca="false">IF(C6&gt;34,"Above 34","34 or below")</f>
        <v>34 or below</v>
      </c>
      <c r="J6" s="5" t="e">
        <f aca="false">concat(F6," | ",G6," | Q1=",D6," | Q2=",E6)</f>
        <v>#NAME?</v>
      </c>
    </row>
    <row r="7" customFormat="false" ht="16.4" hidden="false" customHeight="false" outlineLevel="0" collapsed="false">
      <c r="A7" s="4" t="n">
        <v>3</v>
      </c>
      <c r="B7" s="4" t="s">
        <v>12</v>
      </c>
      <c r="C7" s="4" t="n">
        <v>35</v>
      </c>
      <c r="D7" s="4" t="str">
        <f aca="false">IF(AND(B7="M",C7&gt;34),"Yes","No")</f>
        <v>Yes</v>
      </c>
      <c r="E7" s="4" t="str">
        <f aca="false">IF(OR(B7="F",C7&lt;25),"Yes","No")</f>
        <v>No</v>
      </c>
      <c r="F7" s="4" t="str">
        <f aca="false">IF(B7="M","Male","Female")</f>
        <v>Male</v>
      </c>
      <c r="G7" s="4" t="str">
        <f aca="false">IF(C7&lt;25,"Under 25",IF(C7&lt;=34,"25-34","35+"))</f>
        <v>35+</v>
      </c>
      <c r="H7" s="4" t="e">
        <f aca="false">concat("ID-",TEXT(A7,"000"),"-",UPPER(B7))</f>
        <v>#NAME?</v>
      </c>
      <c r="I7" s="4" t="str">
        <f aca="false">IF(C7&gt;34,"Above 34","34 or below")</f>
        <v>Above 34</v>
      </c>
      <c r="J7" s="4" t="e">
        <f aca="false">concat(F7," | ",G7," | Q1=",D7," | Q2=",E7)</f>
        <v>#NAME?</v>
      </c>
    </row>
    <row r="8" customFormat="false" ht="16.4" hidden="false" customHeight="false" outlineLevel="0" collapsed="false">
      <c r="A8" s="5" t="n">
        <v>4</v>
      </c>
      <c r="B8" s="5" t="s">
        <v>13</v>
      </c>
      <c r="C8" s="5" t="n">
        <v>34</v>
      </c>
      <c r="D8" s="5" t="str">
        <f aca="false">IF(AND(B8="M",C8&gt;34),"Yes","No")</f>
        <v>No</v>
      </c>
      <c r="E8" s="5" t="str">
        <f aca="false">IF(OR(B8="F",C8&lt;25),"Yes","No")</f>
        <v>Yes</v>
      </c>
      <c r="F8" s="5" t="str">
        <f aca="false">IF(B8="M","Male","Female")</f>
        <v>Female</v>
      </c>
      <c r="G8" s="5" t="str">
        <f aca="false">IF(C8&lt;25,"Under 25",IF(C8&lt;=34,"25-34","35+"))</f>
        <v>25-34</v>
      </c>
      <c r="H8" s="5" t="e">
        <f aca="false">concat("ID-",TEXT(A8,"000"),"-",UPPER(B8))</f>
        <v>#NAME?</v>
      </c>
      <c r="I8" s="5" t="str">
        <f aca="false">IF(C8&gt;34,"Above 34","34 or below")</f>
        <v>34 or below</v>
      </c>
      <c r="J8" s="5" t="e">
        <f aca="false">concat(F8," | ",G8," | Q1=",D8," | Q2=",E8)</f>
        <v>#NAME?</v>
      </c>
    </row>
    <row r="9" customFormat="false" ht="16.4" hidden="false" customHeight="false" outlineLevel="0" collapsed="false">
      <c r="A9" s="4" t="n">
        <v>5</v>
      </c>
      <c r="B9" s="4" t="s">
        <v>12</v>
      </c>
      <c r="C9" s="4" t="n">
        <v>27</v>
      </c>
      <c r="D9" s="4" t="str">
        <f aca="false">IF(AND(B9="M",C9&gt;34),"Yes","No")</f>
        <v>No</v>
      </c>
      <c r="E9" s="4" t="str">
        <f aca="false">IF(OR(B9="F",C9&lt;25),"Yes","No")</f>
        <v>No</v>
      </c>
      <c r="F9" s="4" t="str">
        <f aca="false">IF(B9="M","Male","Female")</f>
        <v>Male</v>
      </c>
      <c r="G9" s="4" t="str">
        <f aca="false">IF(C9&lt;25,"Under 25",IF(C9&lt;=34,"25-34","35+"))</f>
        <v>25-34</v>
      </c>
      <c r="H9" s="4" t="e">
        <f aca="false">concat("ID-",TEXT(A9,"000"),"-",UPPER(B9))</f>
        <v>#NAME?</v>
      </c>
      <c r="I9" s="4" t="str">
        <f aca="false">IF(C9&gt;34,"Above 34","34 or below")</f>
        <v>34 or below</v>
      </c>
      <c r="J9" s="4" t="e">
        <f aca="false">concat(F9," | ",G9," | Q1=",D9," | Q2=",E9)</f>
        <v>#NAME?</v>
      </c>
    </row>
    <row r="10" customFormat="false" ht="16.4" hidden="false" customHeight="false" outlineLevel="0" collapsed="false">
      <c r="A10" s="5" t="n">
        <v>6</v>
      </c>
      <c r="B10" s="5" t="s">
        <v>13</v>
      </c>
      <c r="C10" s="5" t="n">
        <v>28</v>
      </c>
      <c r="D10" s="5" t="str">
        <f aca="false">IF(AND(B10="M",C10&gt;34),"Yes","No")</f>
        <v>No</v>
      </c>
      <c r="E10" s="5" t="str">
        <f aca="false">IF(OR(B10="F",C10&lt;25),"Yes","No")</f>
        <v>Yes</v>
      </c>
      <c r="F10" s="5" t="str">
        <f aca="false">IF(B10="M","Male","Female")</f>
        <v>Female</v>
      </c>
      <c r="G10" s="5" t="str">
        <f aca="false">IF(C10&lt;25,"Under 25",IF(C10&lt;=34,"25-34","35+"))</f>
        <v>25-34</v>
      </c>
      <c r="H10" s="5" t="e">
        <f aca="false">concat("ID-",TEXT(A10,"000"),"-",UPPER(B10))</f>
        <v>#NAME?</v>
      </c>
      <c r="I10" s="5" t="str">
        <f aca="false">IF(C10&gt;34,"Above 34","34 or below")</f>
        <v>34 or below</v>
      </c>
      <c r="J10" s="5" t="e">
        <f aca="false">concat(F10," | ",G10," | Q1=",D10," | Q2=",E10)</f>
        <v>#NAME?</v>
      </c>
    </row>
    <row r="11" customFormat="false" ht="16.4" hidden="false" customHeight="false" outlineLevel="0" collapsed="false">
      <c r="A11" s="4" t="n">
        <v>7</v>
      </c>
      <c r="B11" s="4" t="s">
        <v>12</v>
      </c>
      <c r="C11" s="4" t="n">
        <v>24</v>
      </c>
      <c r="D11" s="4" t="str">
        <f aca="false">IF(AND(B11="M",C11&gt;34),"Yes","No")</f>
        <v>No</v>
      </c>
      <c r="E11" s="4" t="str">
        <f aca="false">IF(OR(B11="F",C11&lt;25),"Yes","No")</f>
        <v>Yes</v>
      </c>
      <c r="F11" s="4" t="str">
        <f aca="false">IF(B11="M","Male","Female")</f>
        <v>Male</v>
      </c>
      <c r="G11" s="4" t="str">
        <f aca="false">IF(C11&lt;25,"Under 25",IF(C11&lt;=34,"25-34","35+"))</f>
        <v>Under 25</v>
      </c>
      <c r="H11" s="4" t="e">
        <f aca="false">concat("ID-",TEXT(A11,"000"),"-",UPPER(B11))</f>
        <v>#NAME?</v>
      </c>
      <c r="I11" s="4" t="str">
        <f aca="false">IF(C11&gt;34,"Above 34","34 or below")</f>
        <v>34 or below</v>
      </c>
      <c r="J11" s="4" t="e">
        <f aca="false">concat(F11," | ",G11," | Q1=",D11," | Q2=",E11)</f>
        <v>#NAME?</v>
      </c>
    </row>
    <row r="12" customFormat="false" ht="16.4" hidden="false" customHeight="false" outlineLevel="0" collapsed="false">
      <c r="A12" s="5" t="n">
        <v>8</v>
      </c>
      <c r="B12" s="5" t="s">
        <v>13</v>
      </c>
      <c r="C12" s="5" t="n">
        <v>32</v>
      </c>
      <c r="D12" s="5" t="str">
        <f aca="false">IF(AND(B12="M",C12&gt;34),"Yes","No")</f>
        <v>No</v>
      </c>
      <c r="E12" s="5" t="str">
        <f aca="false">IF(OR(B12="F",C12&lt;25),"Yes","No")</f>
        <v>Yes</v>
      </c>
      <c r="F12" s="5" t="str">
        <f aca="false">IF(B12="M","Male","Female")</f>
        <v>Female</v>
      </c>
      <c r="G12" s="5" t="str">
        <f aca="false">IF(C12&lt;25,"Under 25",IF(C12&lt;=34,"25-34","35+"))</f>
        <v>25-34</v>
      </c>
      <c r="H12" s="5" t="e">
        <f aca="false">concat("ID-",TEXT(A12,"000"),"-",UPPER(B12))</f>
        <v>#NAME?</v>
      </c>
      <c r="I12" s="5" t="str">
        <f aca="false">IF(C12&gt;34,"Above 34","34 or below")</f>
        <v>34 or below</v>
      </c>
      <c r="J12" s="5" t="e">
        <f aca="false">concat(F12," | ",G12," | Q1=",D12," | Q2=",E12)</f>
        <v>#NAME?</v>
      </c>
    </row>
    <row r="13" customFormat="false" ht="16.4" hidden="false" customHeight="false" outlineLevel="0" collapsed="false">
      <c r="A13" s="4" t="n">
        <v>9</v>
      </c>
      <c r="B13" s="4" t="s">
        <v>12</v>
      </c>
      <c r="C13" s="4" t="n">
        <v>26</v>
      </c>
      <c r="D13" s="4" t="str">
        <f aca="false">IF(AND(B13="M",C13&gt;34),"Yes","No")</f>
        <v>No</v>
      </c>
      <c r="E13" s="4" t="str">
        <f aca="false">IF(OR(B13="F",C13&lt;25),"Yes","No")</f>
        <v>No</v>
      </c>
      <c r="F13" s="4" t="str">
        <f aca="false">IF(B13="M","Male","Female")</f>
        <v>Male</v>
      </c>
      <c r="G13" s="4" t="str">
        <f aca="false">IF(C13&lt;25,"Under 25",IF(C13&lt;=34,"25-34","35+"))</f>
        <v>25-34</v>
      </c>
      <c r="H13" s="4" t="e">
        <f aca="false">concat("ID-",TEXT(A13,"000"),"-",UPPER(B13))</f>
        <v>#NAME?</v>
      </c>
      <c r="I13" s="4" t="str">
        <f aca="false">IF(C13&gt;34,"Above 34","34 or below")</f>
        <v>34 or below</v>
      </c>
      <c r="J13" s="4" t="e">
        <f aca="false">concat(F13," | ",G13," | Q1=",D13," | Q2=",E13)</f>
        <v>#NAME?</v>
      </c>
    </row>
    <row r="14" customFormat="false" ht="16.4" hidden="false" customHeight="false" outlineLevel="0" collapsed="false">
      <c r="A14" s="5" t="n">
        <v>10</v>
      </c>
      <c r="B14" s="5" t="s">
        <v>13</v>
      </c>
      <c r="C14" s="5" t="n">
        <v>31</v>
      </c>
      <c r="D14" s="5" t="str">
        <f aca="false">IF(AND(B14="M",C14&gt;34),"Yes","No")</f>
        <v>No</v>
      </c>
      <c r="E14" s="5" t="str">
        <f aca="false">IF(OR(B14="F",C14&lt;25),"Yes","No")</f>
        <v>Yes</v>
      </c>
      <c r="F14" s="5" t="str">
        <f aca="false">IF(B14="M","Male","Female")</f>
        <v>Female</v>
      </c>
      <c r="G14" s="5" t="str">
        <f aca="false">IF(C14&lt;25,"Under 25",IF(C14&lt;=34,"25-34","35+"))</f>
        <v>25-34</v>
      </c>
      <c r="H14" s="5" t="e">
        <f aca="false">concat("ID-",TEXT(A14,"000"),"-",UPPER(B14))</f>
        <v>#NAME?</v>
      </c>
      <c r="I14" s="5" t="str">
        <f aca="false">IF(C14&gt;34,"Above 34","34 or below")</f>
        <v>34 or below</v>
      </c>
      <c r="J14" s="5" t="e">
        <f aca="false">concat(F14," | ",G14," | Q1=",D14," | Q2=",E14)</f>
        <v>#NAME?</v>
      </c>
    </row>
    <row r="15" customFormat="false" ht="16.4" hidden="false" customHeight="false" outlineLevel="0" collapsed="false">
      <c r="A15" s="4" t="n">
        <v>11</v>
      </c>
      <c r="B15" s="4" t="s">
        <v>12</v>
      </c>
      <c r="C15" s="4" t="n">
        <v>37</v>
      </c>
      <c r="D15" s="4" t="str">
        <f aca="false">IF(AND(B15="M",C15&gt;34),"Yes","No")</f>
        <v>Yes</v>
      </c>
      <c r="E15" s="4" t="str">
        <f aca="false">IF(OR(B15="F",C15&lt;25),"Yes","No")</f>
        <v>No</v>
      </c>
      <c r="F15" s="4" t="str">
        <f aca="false">IF(B15="M","Male","Female")</f>
        <v>Male</v>
      </c>
      <c r="G15" s="4" t="str">
        <f aca="false">IF(C15&lt;25,"Under 25",IF(C15&lt;=34,"25-34","35+"))</f>
        <v>35+</v>
      </c>
      <c r="H15" s="4" t="e">
        <f aca="false">concat("ID-",TEXT(A15,"000"),"-",UPPER(B15))</f>
        <v>#NAME?</v>
      </c>
      <c r="I15" s="4" t="str">
        <f aca="false">IF(C15&gt;34,"Above 34","34 or below")</f>
        <v>Above 34</v>
      </c>
      <c r="J15" s="4" t="e">
        <f aca="false">concat(F15," | ",G15," | Q1=",D15," | Q2=",E15)</f>
        <v>#NAME?</v>
      </c>
    </row>
    <row r="16" customFormat="false" ht="16.4" hidden="false" customHeight="false" outlineLevel="0" collapsed="false">
      <c r="A16" s="5" t="n">
        <v>12</v>
      </c>
      <c r="B16" s="5" t="s">
        <v>13</v>
      </c>
      <c r="C16" s="5" t="n">
        <v>24</v>
      </c>
      <c r="D16" s="5" t="str">
        <f aca="false">IF(AND(B16="M",C16&gt;34),"Yes","No")</f>
        <v>No</v>
      </c>
      <c r="E16" s="5" t="str">
        <f aca="false">IF(OR(B16="F",C16&lt;25),"Yes","No")</f>
        <v>Yes</v>
      </c>
      <c r="F16" s="5" t="str">
        <f aca="false">IF(B16="M","Male","Female")</f>
        <v>Female</v>
      </c>
      <c r="G16" s="5" t="str">
        <f aca="false">IF(C16&lt;25,"Under 25",IF(C16&lt;=34,"25-34","35+"))</f>
        <v>Under 25</v>
      </c>
      <c r="H16" s="5" t="e">
        <f aca="false">concat("ID-",TEXT(A16,"000"),"-",UPPER(B16))</f>
        <v>#NAME?</v>
      </c>
      <c r="I16" s="5" t="str">
        <f aca="false">IF(C16&gt;34,"Above 34","34 or below")</f>
        <v>34 or below</v>
      </c>
      <c r="J16" s="5" t="e">
        <f aca="false">concat(F16," | ",G16," | Q1=",D16," | Q2=",E16)</f>
        <v>#NAME?</v>
      </c>
    </row>
    <row r="17" customFormat="false" ht="16.4" hidden="false" customHeight="false" outlineLevel="0" collapsed="false">
      <c r="A17" s="4" t="n">
        <v>13</v>
      </c>
      <c r="B17" s="4" t="s">
        <v>12</v>
      </c>
      <c r="C17" s="4" t="n">
        <v>23</v>
      </c>
      <c r="D17" s="4" t="str">
        <f aca="false">IF(AND(B17="M",C17&gt;34),"Yes","No")</f>
        <v>No</v>
      </c>
      <c r="E17" s="4" t="str">
        <f aca="false">IF(OR(B17="F",C17&lt;25),"Yes","No")</f>
        <v>Yes</v>
      </c>
      <c r="F17" s="4" t="str">
        <f aca="false">IF(B17="M","Male","Female")</f>
        <v>Male</v>
      </c>
      <c r="G17" s="4" t="str">
        <f aca="false">IF(C17&lt;25,"Under 25",IF(C17&lt;=34,"25-34","35+"))</f>
        <v>Under 25</v>
      </c>
      <c r="H17" s="4" t="e">
        <f aca="false">concat("ID-",TEXT(A17,"000"),"-",UPPER(B17))</f>
        <v>#NAME?</v>
      </c>
      <c r="I17" s="4" t="str">
        <f aca="false">IF(C17&gt;34,"Above 34","34 or below")</f>
        <v>34 or below</v>
      </c>
      <c r="J17" s="4" t="e">
        <f aca="false">concat(F17," | ",G17," | Q1=",D17," | Q2=",E17)</f>
        <v>#NAME?</v>
      </c>
    </row>
    <row r="18" customFormat="false" ht="16.4" hidden="false" customHeight="false" outlineLevel="0" collapsed="false">
      <c r="A18" s="5" t="n">
        <v>14</v>
      </c>
      <c r="B18" s="5" t="s">
        <v>13</v>
      </c>
      <c r="C18" s="5" t="n">
        <v>37</v>
      </c>
      <c r="D18" s="5" t="str">
        <f aca="false">IF(AND(B18="M",C18&gt;34),"Yes","No")</f>
        <v>No</v>
      </c>
      <c r="E18" s="5" t="str">
        <f aca="false">IF(OR(B18="F",C18&lt;25),"Yes","No")</f>
        <v>Yes</v>
      </c>
      <c r="F18" s="5" t="str">
        <f aca="false">IF(B18="M","Male","Female")</f>
        <v>Female</v>
      </c>
      <c r="G18" s="5" t="str">
        <f aca="false">IF(C18&lt;25,"Under 25",IF(C18&lt;=34,"25-34","35+"))</f>
        <v>35+</v>
      </c>
      <c r="H18" s="5" t="e">
        <f aca="false">concat("ID-",TEXT(A18,"000"),"-",UPPER(B18))</f>
        <v>#NAME?</v>
      </c>
      <c r="I18" s="5" t="str">
        <f aca="false">IF(C18&gt;34,"Above 34","34 or below")</f>
        <v>Above 34</v>
      </c>
      <c r="J18" s="5" t="e">
        <f aca="false">concat(F18," | ",G18," | Q1=",D18," | Q2=",E18)</f>
        <v>#NAME?</v>
      </c>
    </row>
    <row r="19" customFormat="false" ht="16.4" hidden="false" customHeight="false" outlineLevel="0" collapsed="false">
      <c r="A19" s="4" t="n">
        <v>15</v>
      </c>
      <c r="B19" s="4" t="s">
        <v>12</v>
      </c>
      <c r="C19" s="4" t="n">
        <v>27</v>
      </c>
      <c r="D19" s="4" t="str">
        <f aca="false">IF(AND(B19="M",C19&gt;34),"Yes","No")</f>
        <v>No</v>
      </c>
      <c r="E19" s="4" t="str">
        <f aca="false">IF(OR(B19="F",C19&lt;25),"Yes","No")</f>
        <v>No</v>
      </c>
      <c r="F19" s="4" t="str">
        <f aca="false">IF(B19="M","Male","Female")</f>
        <v>Male</v>
      </c>
      <c r="G19" s="4" t="str">
        <f aca="false">IF(C19&lt;25,"Under 25",IF(C19&lt;=34,"25-34","35+"))</f>
        <v>25-34</v>
      </c>
      <c r="H19" s="4" t="e">
        <f aca="false">concat("ID-",TEXT(A19,"000"),"-",UPPER(B19))</f>
        <v>#NAME?</v>
      </c>
      <c r="I19" s="4" t="str">
        <f aca="false">IF(C19&gt;34,"Above 34","34 or below")</f>
        <v>34 or below</v>
      </c>
      <c r="J19" s="4" t="e">
        <f aca="false">concat(F19," | ",G19," | Q1=",D19," | Q2=",E19)</f>
        <v>#NAME?</v>
      </c>
    </row>
    <row r="20" customFormat="false" ht="16.4" hidden="false" customHeight="false" outlineLevel="0" collapsed="false">
      <c r="A20" s="5" t="n">
        <v>16</v>
      </c>
      <c r="B20" s="5" t="s">
        <v>13</v>
      </c>
      <c r="C20" s="5" t="n">
        <v>30</v>
      </c>
      <c r="D20" s="5" t="str">
        <f aca="false">IF(AND(B20="M",C20&gt;34),"Yes","No")</f>
        <v>No</v>
      </c>
      <c r="E20" s="5" t="str">
        <f aca="false">IF(OR(B20="F",C20&lt;25),"Yes","No")</f>
        <v>Yes</v>
      </c>
      <c r="F20" s="5" t="str">
        <f aca="false">IF(B20="M","Male","Female")</f>
        <v>Female</v>
      </c>
      <c r="G20" s="5" t="str">
        <f aca="false">IF(C20&lt;25,"Under 25",IF(C20&lt;=34,"25-34","35+"))</f>
        <v>25-34</v>
      </c>
      <c r="H20" s="5" t="e">
        <f aca="false">concat("ID-",TEXT(A20,"000"),"-",UPPER(B20))</f>
        <v>#NAME?</v>
      </c>
      <c r="I20" s="5" t="str">
        <f aca="false">IF(C20&gt;34,"Above 34","34 or below")</f>
        <v>34 or below</v>
      </c>
      <c r="J20" s="5" t="e">
        <f aca="false">concat(F20," | ",G20," | Q1=",D20," | Q2=",E20)</f>
        <v>#NAME?</v>
      </c>
    </row>
    <row r="21" customFormat="false" ht="16.4" hidden="false" customHeight="false" outlineLevel="0" collapsed="false">
      <c r="A21" s="4" t="n">
        <v>17</v>
      </c>
      <c r="B21" s="4" t="s">
        <v>12</v>
      </c>
      <c r="C21" s="4" t="n">
        <v>27</v>
      </c>
      <c r="D21" s="4" t="str">
        <f aca="false">IF(AND(B21="M",C21&gt;34),"Yes","No")</f>
        <v>No</v>
      </c>
      <c r="E21" s="4" t="str">
        <f aca="false">IF(OR(B21="F",C21&lt;25),"Yes","No")</f>
        <v>No</v>
      </c>
      <c r="F21" s="4" t="str">
        <f aca="false">IF(B21="M","Male","Female")</f>
        <v>Male</v>
      </c>
      <c r="G21" s="4" t="str">
        <f aca="false">IF(C21&lt;25,"Under 25",IF(C21&lt;=34,"25-34","35+"))</f>
        <v>25-34</v>
      </c>
      <c r="H21" s="4" t="e">
        <f aca="false">concat("ID-",TEXT(A21,"000"),"-",UPPER(B21))</f>
        <v>#NAME?</v>
      </c>
      <c r="I21" s="4" t="str">
        <f aca="false">IF(C21&gt;34,"Above 34","34 or below")</f>
        <v>34 or below</v>
      </c>
      <c r="J21" s="4" t="e">
        <f aca="false">concat(F21," | ",G21," | Q1=",D21," | Q2=",E21)</f>
        <v>#NAME?</v>
      </c>
    </row>
    <row r="22" customFormat="false" ht="16.4" hidden="false" customHeight="false" outlineLevel="0" collapsed="false">
      <c r="A22" s="5" t="n">
        <v>18</v>
      </c>
      <c r="B22" s="5" t="s">
        <v>13</v>
      </c>
      <c r="C22" s="5" t="n">
        <v>28</v>
      </c>
      <c r="D22" s="5" t="str">
        <f aca="false">IF(AND(B22="M",C22&gt;34),"Yes","No")</f>
        <v>No</v>
      </c>
      <c r="E22" s="5" t="str">
        <f aca="false">IF(OR(B22="F",C22&lt;25),"Yes","No")</f>
        <v>Yes</v>
      </c>
      <c r="F22" s="5" t="str">
        <f aca="false">IF(B22="M","Male","Female")</f>
        <v>Female</v>
      </c>
      <c r="G22" s="5" t="str">
        <f aca="false">IF(C22&lt;25,"Under 25",IF(C22&lt;=34,"25-34","35+"))</f>
        <v>25-34</v>
      </c>
      <c r="H22" s="5" t="e">
        <f aca="false">concat("ID-",TEXT(A22,"000"),"-",UPPER(B22))</f>
        <v>#NAME?</v>
      </c>
      <c r="I22" s="5" t="str">
        <f aca="false">IF(C22&gt;34,"Above 34","34 or below")</f>
        <v>34 or below</v>
      </c>
      <c r="J22" s="5" t="e">
        <f aca="false">concat(F22," | ",G22," | Q1=",D22," | Q2=",E22)</f>
        <v>#NAME?</v>
      </c>
    </row>
    <row r="23" customFormat="false" ht="16.4" hidden="false" customHeight="false" outlineLevel="0" collapsed="false">
      <c r="A23" s="4" t="n">
        <v>19</v>
      </c>
      <c r="B23" s="4" t="s">
        <v>12</v>
      </c>
      <c r="C23" s="4" t="n">
        <v>20</v>
      </c>
      <c r="D23" s="4" t="str">
        <f aca="false">IF(AND(B23="M",C23&gt;34),"Yes","No")</f>
        <v>No</v>
      </c>
      <c r="E23" s="4" t="str">
        <f aca="false">IF(OR(B23="F",C23&lt;25),"Yes","No")</f>
        <v>Yes</v>
      </c>
      <c r="F23" s="4" t="str">
        <f aca="false">IF(B23="M","Male","Female")</f>
        <v>Male</v>
      </c>
      <c r="G23" s="4" t="str">
        <f aca="false">IF(C23&lt;25,"Under 25",IF(C23&lt;=34,"25-34","35+"))</f>
        <v>Under 25</v>
      </c>
      <c r="H23" s="4" t="e">
        <f aca="false">concat("ID-",TEXT(A23,"000"),"-",UPPER(B23))</f>
        <v>#NAME?</v>
      </c>
      <c r="I23" s="4" t="str">
        <f aca="false">IF(C23&gt;34,"Above 34","34 or below")</f>
        <v>34 or below</v>
      </c>
      <c r="J23" s="4" t="e">
        <f aca="false">concat(F23," | ",G23," | Q1=",D23," | Q2=",E23)</f>
        <v>#NAME?</v>
      </c>
    </row>
    <row r="24" customFormat="false" ht="16.4" hidden="false" customHeight="false" outlineLevel="0" collapsed="false">
      <c r="A24" s="5" t="n">
        <v>20</v>
      </c>
      <c r="B24" s="5" t="s">
        <v>13</v>
      </c>
      <c r="C24" s="5" t="n">
        <v>34</v>
      </c>
      <c r="D24" s="5" t="str">
        <f aca="false">IF(AND(B24="M",C24&gt;34),"Yes","No")</f>
        <v>No</v>
      </c>
      <c r="E24" s="5" t="str">
        <f aca="false">IF(OR(B24="F",C24&lt;25),"Yes","No")</f>
        <v>Yes</v>
      </c>
      <c r="F24" s="5" t="str">
        <f aca="false">IF(B24="M","Male","Female")</f>
        <v>Female</v>
      </c>
      <c r="G24" s="5" t="str">
        <f aca="false">IF(C24&lt;25,"Under 25",IF(C24&lt;=34,"25-34","35+"))</f>
        <v>25-34</v>
      </c>
      <c r="H24" s="5" t="e">
        <f aca="false">concat("ID-",TEXT(A24,"000"),"-",UPPER(B24))</f>
        <v>#NAME?</v>
      </c>
      <c r="I24" s="5" t="str">
        <f aca="false">IF(C24&gt;34,"Above 34","34 or below")</f>
        <v>34 or below</v>
      </c>
      <c r="J24" s="5" t="e">
        <f aca="false">concat(F24," | ",G24," | Q1=",D24," | Q2=",E24)</f>
        <v>#NAME?</v>
      </c>
    </row>
    <row r="25" customFormat="false" ht="16.4" hidden="false" customHeight="false" outlineLevel="0" collapsed="false">
      <c r="A25" s="4" t="n">
        <v>21</v>
      </c>
      <c r="B25" s="4" t="s">
        <v>12</v>
      </c>
      <c r="C25" s="4" t="n">
        <v>41</v>
      </c>
      <c r="D25" s="4" t="str">
        <f aca="false">IF(AND(B25="M",C25&gt;34),"Yes","No")</f>
        <v>Yes</v>
      </c>
      <c r="E25" s="4" t="str">
        <f aca="false">IF(OR(B25="F",C25&lt;25),"Yes","No")</f>
        <v>No</v>
      </c>
      <c r="F25" s="4" t="str">
        <f aca="false">IF(B25="M","Male","Female")</f>
        <v>Male</v>
      </c>
      <c r="G25" s="4" t="str">
        <f aca="false">IF(C25&lt;25,"Under 25",IF(C25&lt;=34,"25-34","35+"))</f>
        <v>35+</v>
      </c>
      <c r="H25" s="4" t="e">
        <f aca="false">concat("ID-",TEXT(A25,"000"),"-",UPPER(B25))</f>
        <v>#NAME?</v>
      </c>
      <c r="I25" s="4" t="str">
        <f aca="false">IF(C25&gt;34,"Above 34","34 or below")</f>
        <v>Above 34</v>
      </c>
      <c r="J25" s="4" t="e">
        <f aca="false">concat(F25," | ",G25," | Q1=",D25," | Q2=",E25)</f>
        <v>#NAME?</v>
      </c>
    </row>
    <row r="26" customFormat="false" ht="16.4" hidden="false" customHeight="false" outlineLevel="0" collapsed="false">
      <c r="A26" s="5" t="n">
        <v>22</v>
      </c>
      <c r="B26" s="5" t="s">
        <v>12</v>
      </c>
      <c r="C26" s="5" t="n">
        <v>47</v>
      </c>
      <c r="D26" s="5" t="str">
        <f aca="false">IF(AND(B26="M",C26&gt;34),"Yes","No")</f>
        <v>Yes</v>
      </c>
      <c r="E26" s="5" t="str">
        <f aca="false">IF(OR(B26="F",C26&lt;25),"Yes","No")</f>
        <v>No</v>
      </c>
      <c r="F26" s="5" t="str">
        <f aca="false">IF(B26="M","Male","Female")</f>
        <v>Male</v>
      </c>
      <c r="G26" s="5" t="str">
        <f aca="false">IF(C26&lt;25,"Under 25",IF(C26&lt;=34,"25-34","35+"))</f>
        <v>35+</v>
      </c>
      <c r="H26" s="5" t="e">
        <f aca="false">concat("ID-",TEXT(A26,"000"),"-",UPPER(B26))</f>
        <v>#NAME?</v>
      </c>
      <c r="I26" s="5" t="str">
        <f aca="false">IF(C26&gt;34,"Above 34","34 or below")</f>
        <v>Above 34</v>
      </c>
      <c r="J26" s="5" t="e">
        <f aca="false">concat(F26," | ",G26," | Q1=",D26," | Q2=",E26)</f>
        <v>#NAME?</v>
      </c>
    </row>
    <row r="27" customFormat="false" ht="16.4" hidden="false" customHeight="false" outlineLevel="0" collapsed="false">
      <c r="A27" s="4" t="n">
        <v>23</v>
      </c>
      <c r="B27" s="4" t="s">
        <v>13</v>
      </c>
      <c r="C27" s="4" t="n">
        <v>36</v>
      </c>
      <c r="D27" s="4" t="str">
        <f aca="false">IF(AND(B27="M",C27&gt;34),"Yes","No")</f>
        <v>No</v>
      </c>
      <c r="E27" s="4" t="str">
        <f aca="false">IF(OR(B27="F",C27&lt;25),"Yes","No")</f>
        <v>Yes</v>
      </c>
      <c r="F27" s="4" t="str">
        <f aca="false">IF(B27="M","Male","Female")</f>
        <v>Female</v>
      </c>
      <c r="G27" s="4" t="str">
        <f aca="false">IF(C27&lt;25,"Under 25",IF(C27&lt;=34,"25-34","35+"))</f>
        <v>35+</v>
      </c>
      <c r="H27" s="4" t="e">
        <f aca="false">concat("ID-",TEXT(A27,"000"),"-",UPPER(B27))</f>
        <v>#NAME?</v>
      </c>
      <c r="I27" s="4" t="str">
        <f aca="false">IF(C27&gt;34,"Above 34","34 or below")</f>
        <v>Above 34</v>
      </c>
      <c r="J27" s="4" t="e">
        <f aca="false">concat(F27," | ",G27," | Q1=",D27," | Q2=",E27)</f>
        <v>#NAME?</v>
      </c>
    </row>
    <row r="28" customFormat="false" ht="16.4" hidden="false" customHeight="false" outlineLevel="0" collapsed="false">
      <c r="A28" s="5" t="n">
        <v>24</v>
      </c>
      <c r="B28" s="5" t="s">
        <v>12</v>
      </c>
      <c r="C28" s="5" t="n">
        <v>28</v>
      </c>
      <c r="D28" s="5" t="str">
        <f aca="false">IF(AND(B28="M",C28&gt;34),"Yes","No")</f>
        <v>No</v>
      </c>
      <c r="E28" s="5" t="str">
        <f aca="false">IF(OR(B28="F",C28&lt;25),"Yes","No")</f>
        <v>No</v>
      </c>
      <c r="F28" s="5" t="str">
        <f aca="false">IF(B28="M","Male","Female")</f>
        <v>Male</v>
      </c>
      <c r="G28" s="5" t="str">
        <f aca="false">IF(C28&lt;25,"Under 25",IF(C28&lt;=34,"25-34","35+"))</f>
        <v>25-34</v>
      </c>
      <c r="H28" s="5" t="e">
        <f aca="false">concat("ID-",TEXT(A28,"000"),"-",UPPER(B28))</f>
        <v>#NAME?</v>
      </c>
      <c r="I28" s="5" t="str">
        <f aca="false">IF(C28&gt;34,"Above 34","34 or below")</f>
        <v>34 or below</v>
      </c>
      <c r="J28" s="5" t="e">
        <f aca="false">concat(F28," | ",G28," | Q1=",D28," | Q2=",E28)</f>
        <v>#NAME?</v>
      </c>
    </row>
  </sheetData>
  <autoFilter ref="A4:J28"/>
  <mergeCells count="2">
    <mergeCell ref="A1:J1"/>
    <mergeCell ref="A2:J2"/>
  </mergeCells>
  <conditionalFormatting sqref="D5:E28">
    <cfRule type="cellIs" priority="2" operator="equal" aboveAverage="0" equalAverage="0" bottom="0" percent="0" rank="0" text="" dxfId="7">
      <formula>"Yes"</formula>
    </cfRule>
    <cfRule type="cellIs" priority="3" operator="equal" aboveAverage="0" equalAverage="0" bottom="0" percent="0" rank="0" text="" dxfId="8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19.7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</row>
    <row r="4" customFormat="false" ht="31.3" hidden="false" customHeight="false" outlineLevel="0" collapsed="false">
      <c r="A4" s="7" t="s">
        <v>20</v>
      </c>
      <c r="B4" s="7" t="s">
        <v>21</v>
      </c>
      <c r="C4" s="7" t="str">
        <f aca="false">IF(AND(Data!B5="M",Data!C5&gt;34),"Yes","No")</f>
        <v>No</v>
      </c>
      <c r="D4" s="7" t="n">
        <f aca="false">COUNTIF(Data!D5:D28,"Yes")</f>
        <v>4</v>
      </c>
      <c r="E4" s="7" t="s">
        <v>22</v>
      </c>
    </row>
    <row r="5" customFormat="false" ht="31.3" hidden="false" customHeight="false" outlineLevel="0" collapsed="false">
      <c r="A5" s="7" t="s">
        <v>23</v>
      </c>
      <c r="B5" s="7" t="s">
        <v>24</v>
      </c>
      <c r="C5" s="7" t="str">
        <f aca="false">IF(OR(Data!B5="F",Data!C5&lt;25),"Yes","No")</f>
        <v>No</v>
      </c>
      <c r="D5" s="7" t="n">
        <f aca="false">COUNTIF(Data!E5:E28,"Yes")</f>
        <v>14</v>
      </c>
      <c r="E5" s="7" t="s">
        <v>25</v>
      </c>
    </row>
    <row r="8" customFormat="false" ht="15" hidden="false" customHeight="false" outlineLevel="0" collapsed="false">
      <c r="A8" s="8" t="s">
        <v>26</v>
      </c>
    </row>
    <row r="9" customFormat="false" ht="15" hidden="false" customHeight="false" outlineLevel="0" collapsed="false">
      <c r="A9" s="9" t="s">
        <v>27</v>
      </c>
      <c r="B9" s="9"/>
      <c r="C9" s="9"/>
      <c r="D9" s="9"/>
      <c r="E9" s="9"/>
    </row>
  </sheetData>
  <mergeCells count="2">
    <mergeCell ref="A1:H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6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19.7" hidden="false" customHeight="false" outlineLevel="0" collapsed="false">
      <c r="A1" s="1" t="s">
        <v>28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0" t="s">
        <v>29</v>
      </c>
      <c r="B3" s="10" t="s">
        <v>30</v>
      </c>
      <c r="C3" s="10" t="s">
        <v>31</v>
      </c>
      <c r="D3" s="10" t="s">
        <v>32</v>
      </c>
    </row>
    <row r="4" customFormat="false" ht="16.4" hidden="false" customHeight="false" outlineLevel="0" collapsed="false">
      <c r="A4" s="7" t="s">
        <v>33</v>
      </c>
      <c r="B4" s="7" t="str">
        <f aca="false">IF(Data!B5="M","Male","Female")</f>
        <v>Male</v>
      </c>
      <c r="C4" s="7" t="s">
        <v>34</v>
      </c>
      <c r="D4" s="7" t="s">
        <v>7</v>
      </c>
    </row>
    <row r="5" customFormat="false" ht="16.4" hidden="false" customHeight="false" outlineLevel="0" collapsed="false">
      <c r="A5" s="7" t="s">
        <v>33</v>
      </c>
      <c r="B5" s="7" t="str">
        <f aca="false">IF(Data!C5&lt;25,"Under 25",IF(Data!C5&lt;=34,"25-34","35+"))</f>
        <v>25-34</v>
      </c>
      <c r="C5" s="7" t="s">
        <v>35</v>
      </c>
      <c r="D5" s="7" t="s">
        <v>8</v>
      </c>
    </row>
    <row r="6" customFormat="false" ht="16.4" hidden="false" customHeight="false" outlineLevel="0" collapsed="false">
      <c r="A6" s="7" t="s">
        <v>36</v>
      </c>
      <c r="B6" s="7" t="e">
        <f aca="false">concat("ID-",TEXT(Data!A5,"000"),"-",UPPER(Data!B5))</f>
        <v>#NAME?</v>
      </c>
      <c r="C6" s="7" t="s">
        <v>37</v>
      </c>
      <c r="D6" s="7" t="s">
        <v>9</v>
      </c>
    </row>
    <row r="7" customFormat="false" ht="16.4" hidden="false" customHeight="false" outlineLevel="0" collapsed="false">
      <c r="A7" s="7" t="s">
        <v>38</v>
      </c>
      <c r="B7" s="7" t="e">
        <f aca="false">concat(Data!F5," | ",Data!G5," | Q1=",Data!D5," | Q2=",Data!E5)</f>
        <v>#NAME?</v>
      </c>
      <c r="C7" s="7" t="s">
        <v>39</v>
      </c>
      <c r="D7" s="7" t="s">
        <v>11</v>
      </c>
    </row>
    <row r="10" customFormat="false" ht="15" hidden="false" customHeight="false" outlineLevel="0" collapsed="false">
      <c r="A10" s="8" t="s">
        <v>40</v>
      </c>
    </row>
    <row r="11" customFormat="false" ht="15" hidden="false" customHeight="false" outlineLevel="0" collapsed="false">
      <c r="A11" s="0" t="s">
        <v>41</v>
      </c>
      <c r="B11" s="0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</row>
    <row r="13" customFormat="false" ht="15" hidden="false" customHeight="false" outlineLevel="0" collapsed="false">
      <c r="A13" s="0" t="s">
        <v>45</v>
      </c>
      <c r="B13" s="0" t="s">
        <v>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2" min="1" style="0" width="14"/>
  </cols>
  <sheetData>
    <row r="1" customFormat="false" ht="21.75" hidden="false" customHeight="true" outlineLevel="0" collapsed="false">
      <c r="A1" s="11" t="s">
        <v>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21.7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1.75" hidden="false" customHeight="true" outlineLevel="0" collapsed="false"/>
    <row r="4" customFormat="false" ht="21.75" hidden="false" customHeight="true" outlineLevel="0" collapsed="false">
      <c r="A4" s="12" t="s">
        <v>49</v>
      </c>
      <c r="B4" s="12" t="n">
        <f aca="false">COUNTA(Data!A5:A28)</f>
        <v>24</v>
      </c>
      <c r="D4" s="12" t="s">
        <v>50</v>
      </c>
      <c r="E4" s="12" t="n">
        <f aca="false">COUNTIF(Data!D5:D28,"Yes")</f>
        <v>4</v>
      </c>
      <c r="G4" s="12" t="s">
        <v>51</v>
      </c>
      <c r="H4" s="12" t="n">
        <f aca="false">COUNTIF(Data!E5:E28,"Yes")</f>
        <v>14</v>
      </c>
      <c r="J4" s="12" t="s">
        <v>52</v>
      </c>
      <c r="K4" s="12" t="n">
        <f aca="false">AVERAGE(Data!C5:C28)</f>
        <v>30.625</v>
      </c>
    </row>
    <row r="5" customFormat="false" ht="21.75" hidden="false" customHeight="true" outlineLevel="0" collapsed="false"/>
    <row r="6" customFormat="false" ht="21.75" hidden="false" customHeight="true" outlineLevel="0" collapsed="false"/>
    <row r="7" customFormat="false" ht="21.75" hidden="false" customHeight="true" outlineLevel="0" collapsed="false"/>
    <row r="8" customFormat="false" ht="21.75" hidden="false" customHeight="true" outlineLevel="0" collapsed="false">
      <c r="A8" s="6" t="s">
        <v>53</v>
      </c>
      <c r="B8" s="6" t="s">
        <v>54</v>
      </c>
      <c r="D8" s="6" t="s">
        <v>55</v>
      </c>
      <c r="E8" s="6" t="s">
        <v>54</v>
      </c>
      <c r="G8" s="6" t="s">
        <v>3</v>
      </c>
      <c r="H8" s="6" t="s">
        <v>54</v>
      </c>
      <c r="J8" s="6" t="s">
        <v>8</v>
      </c>
      <c r="K8" s="6" t="s">
        <v>54</v>
      </c>
    </row>
    <row r="9" customFormat="false" ht="21.75" hidden="false" customHeight="true" outlineLevel="0" collapsed="false">
      <c r="A9" s="13" t="s">
        <v>56</v>
      </c>
      <c r="B9" s="13" t="n">
        <f aca="false">COUNTIF(Data!D5:D28,"Yes")</f>
        <v>4</v>
      </c>
      <c r="C9" s="13"/>
      <c r="D9" s="13" t="s">
        <v>56</v>
      </c>
      <c r="E9" s="13" t="n">
        <f aca="false">COUNTIF(Data!E5:E28,"Yes")</f>
        <v>14</v>
      </c>
      <c r="F9" s="13"/>
      <c r="G9" s="13" t="s">
        <v>57</v>
      </c>
      <c r="H9" s="13" t="n">
        <f aca="false">COUNTIF(Data!B5:B28,"M")</f>
        <v>13</v>
      </c>
      <c r="I9" s="13"/>
      <c r="J9" s="13" t="s">
        <v>58</v>
      </c>
      <c r="K9" s="13" t="n">
        <f aca="false">COUNTIF(Data!G5:G28,"Under 25")</f>
        <v>4</v>
      </c>
    </row>
    <row r="10" customFormat="false" ht="21.75" hidden="false" customHeight="true" outlineLevel="0" collapsed="false">
      <c r="A10" s="13" t="s">
        <v>59</v>
      </c>
      <c r="B10" s="13" t="n">
        <f aca="false">COUNTIF(Data!D5:D28,"No")</f>
        <v>20</v>
      </c>
      <c r="C10" s="13"/>
      <c r="D10" s="13" t="s">
        <v>59</v>
      </c>
      <c r="E10" s="13" t="n">
        <f aca="false">COUNTIF(Data!E5:E28,"No")</f>
        <v>10</v>
      </c>
      <c r="F10" s="13"/>
      <c r="G10" s="13" t="s">
        <v>60</v>
      </c>
      <c r="H10" s="13" t="n">
        <f aca="false">COUNTIF(Data!B5:B28,"F")</f>
        <v>11</v>
      </c>
      <c r="I10" s="13"/>
      <c r="J10" s="13" t="s">
        <v>61</v>
      </c>
      <c r="K10" s="13" t="n">
        <f aca="false">COUNTIF(Data!G5:G28,"25-34")</f>
        <v>14</v>
      </c>
    </row>
    <row r="11" customFormat="false" ht="21.75" hidden="false" customHeight="true" outlineLevel="0" collapsed="false">
      <c r="A11" s="13"/>
      <c r="B11" s="13"/>
      <c r="C11" s="13"/>
      <c r="D11" s="13"/>
      <c r="E11" s="13"/>
      <c r="F11" s="13"/>
      <c r="G11" s="13"/>
      <c r="H11" s="13"/>
      <c r="I11" s="13"/>
      <c r="J11" s="13" t="s">
        <v>62</v>
      </c>
      <c r="K11" s="13" t="n">
        <f aca="false">COUNTIF(Data!G5:G28,"35+")</f>
        <v>6</v>
      </c>
    </row>
    <row r="12" customFormat="false" ht="21.75" hidden="false" customHeight="true" outlineLevel="0" collapsed="false"/>
    <row r="13" customFormat="false" ht="21.75" hidden="false" customHeight="true" outlineLevel="0" collapsed="false"/>
    <row r="14" customFormat="false" ht="21.75" hidden="false" customHeight="true" outlineLevel="0" collapsed="false"/>
    <row r="15" customFormat="false" ht="21.75" hidden="false" customHeight="true" outlineLevel="0" collapsed="false"/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  <row r="21" customFormat="false" ht="21.75" hidden="false" customHeight="true" outlineLevel="0" collapsed="false"/>
    <row r="22" customFormat="false" ht="21.75" hidden="false" customHeight="true" outlineLevel="0" collapsed="false"/>
    <row r="23" customFormat="false" ht="21.75" hidden="false" customHeight="true" outlineLevel="0" collapsed="false"/>
    <row r="24" customFormat="false" ht="21.75" hidden="false" customHeight="true" outlineLevel="0" collapsed="false"/>
    <row r="25" customFormat="false" ht="21.75" hidden="false" customHeight="true" outlineLevel="0" collapsed="false"/>
    <row r="26" customFormat="false" ht="21.75" hidden="false" customHeight="true" outlineLevel="0" collapsed="false"/>
    <row r="27" customFormat="false" ht="21.75" hidden="false" customHeight="true" outlineLevel="0" collapsed="false"/>
    <row r="28" customFormat="false" ht="21.75" hidden="false" customHeight="true" outlineLevel="0" collapsed="false"/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6" min="3" style="0" width="25"/>
  </cols>
  <sheetData>
    <row r="1" customFormat="false" ht="19.7" hidden="false" customHeight="false" outlineLevel="0" collapsed="false">
      <c r="A1" s="1" t="s">
        <v>63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0" t="s">
        <v>64</v>
      </c>
      <c r="B3" s="0" t="s">
        <v>42</v>
      </c>
    </row>
    <row r="4" customFormat="false" ht="15" hidden="false" customHeight="false" outlineLevel="0" collapsed="false">
      <c r="A4" s="0" t="s">
        <v>43</v>
      </c>
      <c r="B4" s="0" t="s">
        <v>44</v>
      </c>
    </row>
    <row r="5" customFormat="false" ht="15" hidden="false" customHeight="false" outlineLevel="0" collapsed="false">
      <c r="A5" s="0" t="s">
        <v>45</v>
      </c>
      <c r="B5" s="0" t="s">
        <v>46</v>
      </c>
    </row>
    <row r="8" customFormat="false" ht="42" hidden="false" customHeight="true" outlineLevel="0" collapsed="false">
      <c r="A8" s="8" t="s">
        <v>65</v>
      </c>
      <c r="B8" s="14" t="s">
        <v>66</v>
      </c>
      <c r="C8" s="14"/>
      <c r="D8" s="14"/>
      <c r="E8" s="14"/>
      <c r="F8" s="14"/>
    </row>
    <row r="9" customFormat="false" ht="42" hidden="false" customHeight="true" outlineLevel="0" collapsed="false">
      <c r="A9" s="8" t="s">
        <v>67</v>
      </c>
      <c r="B9" s="14" t="s">
        <v>68</v>
      </c>
      <c r="C9" s="14"/>
      <c r="D9" s="14"/>
      <c r="E9" s="14"/>
      <c r="F9" s="14"/>
    </row>
    <row r="10" customFormat="false" ht="42" hidden="false" customHeight="true" outlineLevel="0" collapsed="false">
      <c r="A10" s="8" t="s">
        <v>69</v>
      </c>
      <c r="B10" s="14" t="s">
        <v>70</v>
      </c>
      <c r="C10" s="14"/>
      <c r="D10" s="14"/>
      <c r="E10" s="14"/>
      <c r="F10" s="14"/>
    </row>
    <row r="11" customFormat="false" ht="42" hidden="false" customHeight="true" outlineLevel="0" collapsed="false">
      <c r="A11" s="8" t="s">
        <v>71</v>
      </c>
      <c r="B11" s="14" t="s">
        <v>72</v>
      </c>
      <c r="C11" s="14"/>
      <c r="D11" s="14"/>
      <c r="E11" s="14"/>
      <c r="F11" s="14"/>
    </row>
    <row r="12" customFormat="false" ht="42" hidden="false" customHeight="true" outlineLevel="0" collapsed="false">
      <c r="A12" s="8" t="s">
        <v>73</v>
      </c>
      <c r="B12" s="14" t="s">
        <v>74</v>
      </c>
      <c r="C12" s="14"/>
      <c r="D12" s="14"/>
      <c r="E12" s="14"/>
      <c r="F12" s="14"/>
    </row>
  </sheetData>
  <mergeCells count="6">
    <mergeCell ref="A1:F1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2026-08-18T06:48:08Z</dcterms:created>
  <dc:creator>openpyxl</dc:creator>
  <dc:description/>
  <dc:language>en-US</dc:language>
  <cp:lastModifiedBy/>
  <dcterms:modified xsi:type="dcterms:W3CDTF">2026-08-18T06:48:08Z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